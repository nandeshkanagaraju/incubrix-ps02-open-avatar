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START" sheetId="1" state="visible" r:id="rId1"/>
    <sheet name="01_DELIVERABLES" sheetId="2" state="visible" r:id="rId2"/>
    <sheet name="02_COMPONENTS" sheetId="3" state="visible" r:id="rId3"/>
    <sheet name="03_TEST_EVIDENCE" sheetId="4" state="visible" r:id="rId4"/>
    <sheet name="04_TRACK_CRITERIA" sheetId="5" state="visible" r:id="rId5"/>
    <sheet name="05_REVIEW_RESULT" sheetId="6" state="visible" r:id="rId6"/>
    <sheet name="06_LIVE_VALIDATION" sheetId="7" state="visible" r:id="rId7"/>
    <sheet name="07_BATCH_MODERATION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00"/>
  </numFmts>
  <fonts count="7">
    <font>
      <name val="Carlito"/>
      <sz val="11"/>
    </font>
    <font>
      <name val="Carlito"/>
      <b val="1"/>
      <color rgb="FFFFFFFF"/>
      <sz val="17"/>
    </font>
    <font>
      <name val="Carlito"/>
      <i val="1"/>
      <color rgb="FFFFFFFF"/>
      <sz val="10"/>
    </font>
    <font>
      <name val="Carlito"/>
      <b val="1"/>
      <color rgb="FFFFFFFF"/>
      <sz val="11"/>
    </font>
    <font>
      <name val="Carlito"/>
      <b val="1"/>
      <color rgb="FF14212B"/>
      <sz val="11"/>
    </font>
    <font>
      <name val="Carlito"/>
      <color rgb="FF14212B"/>
      <sz val="9"/>
    </font>
    <font>
      <name val="Carlito"/>
      <b val="1"/>
      <sz val="11"/>
    </font>
  </fonts>
  <fills count="11">
    <fill>
      <patternFill/>
    </fill>
    <fill>
      <patternFill patternType="gray125"/>
    </fill>
    <fill>
      <patternFill patternType="solid">
        <fgColor rgb="FF0B1B2B"/>
      </patternFill>
    </fill>
    <fill>
      <patternFill patternType="solid">
        <fgColor rgb="FF008F8A"/>
      </patternFill>
    </fill>
    <fill>
      <patternFill patternType="solid">
        <fgColor rgb="FF12324D"/>
      </patternFill>
    </fill>
    <fill>
      <patternFill patternType="solid">
        <fgColor rgb="FFF3F5F7"/>
      </patternFill>
    </fill>
    <fill>
      <patternFill patternType="solid">
        <fgColor rgb="FFFFF4C7"/>
      </patternFill>
    </fill>
    <fill>
      <patternFill patternType="solid">
        <fgColor rgb="FFE7F5F3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CE8E6"/>
      </patternFill>
    </fill>
  </fills>
  <borders count="11">
    <border/>
    <border>
      <left style="thin">
        <color rgb="FFD7E0E6"/>
      </left>
      <right style="thin">
        <color rgb="FFD7E0E6"/>
      </right>
      <top style="thin">
        <color rgb="FFD7E0E6"/>
      </top>
      <bottom style="thin">
        <color rgb="FFD7E0E6"/>
      </bottom>
    </border>
    <border>
      <top style="thin">
        <color rgb="FFD7E0E6"/>
      </top>
    </border>
    <border>
      <right style="thin">
        <color rgb="FFD7E0E6"/>
      </right>
      <top style="thin">
        <color rgb="FFD7E0E6"/>
      </top>
    </border>
    <border>
      <top style="thin">
        <color rgb="FFD7E0E6"/>
      </top>
      <bottom style="thin">
        <color rgb="FFD7E0E6"/>
      </bottom>
    </border>
    <border>
      <right style="thin">
        <color rgb="FFD7E0E6"/>
      </right>
      <top style="thin">
        <color rgb="FFD7E0E6"/>
      </top>
      <bottom style="thin">
        <color rgb="FFD7E0E6"/>
      </bottom>
    </border>
    <border>
      <left style="thin">
        <color rgb="FFD7E0E6"/>
      </left>
    </border>
    <border>
      <right style="thin">
        <color rgb="FFD7E0E6"/>
      </right>
    </border>
    <border>
      <left style="thin">
        <color rgb="FFD7E0E6"/>
      </left>
      <bottom style="thin">
        <color rgb="FFD7E0E6"/>
      </bottom>
    </border>
    <border>
      <bottom style="thin">
        <color rgb="FFD7E0E6"/>
      </bottom>
    </border>
    <border>
      <right style="thin">
        <color rgb="FFD7E0E6"/>
      </right>
      <bottom style="thin">
        <color rgb="FFD7E0E6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0" fontId="0" fillId="7" borderId="0" pivotButton="0" quotePrefix="0" xfId="0"/>
    <xf numFmtId="0" fontId="5" fillId="7" borderId="0" pivotButton="0" quotePrefix="0" xfId="0"/>
    <xf numFmtId="0" fontId="5" fillId="7" borderId="1" pivotButton="0" quotePrefix="0" xfId="0"/>
    <xf numFmtId="0" fontId="5" fillId="7" borderId="1" applyAlignment="1" pivotButton="0" quotePrefix="0" xfId="0">
      <alignment wrapText="1"/>
    </xf>
    <xf numFmtId="0" fontId="5" fillId="7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8" borderId="0" pivotButton="0" quotePrefix="0" xfId="0"/>
    <xf numFmtId="0" fontId="5" fillId="8" borderId="0" pivotButton="0" quotePrefix="0" xfId="0"/>
    <xf numFmtId="0" fontId="5" fillId="8" borderId="1" pivotButton="0" quotePrefix="0" xfId="0"/>
    <xf numFmtId="0" fontId="5" fillId="8" borderId="1" applyAlignment="1" pivotButton="0" quotePrefix="0" xfId="0">
      <alignment wrapText="1"/>
    </xf>
    <xf numFmtId="0" fontId="5" fillId="8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4" fillId="6" borderId="0" pivotButton="0" quotePrefix="0" xfId="0"/>
    <xf numFmtId="0" fontId="4" fillId="6" borderId="1" pivotButton="0" quotePrefix="0" xfId="0"/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vertical="center" wrapText="1"/>
    </xf>
    <xf numFmtId="0" fontId="6" fillId="5" borderId="0" pivotButton="0" quotePrefix="0" xfId="0"/>
    <xf numFmtId="0" fontId="6" fillId="5" borderId="1" pivotButton="0" quotePrefix="0" xfId="0"/>
    <xf numFmtId="0" fontId="0" fillId="9" borderId="0" pivotButton="0" quotePrefix="0" xfId="0"/>
    <xf numFmtId="0" fontId="5" fillId="9" borderId="0" pivotButton="0" quotePrefix="0" xfId="0"/>
    <xf numFmtId="0" fontId="5" fillId="9" borderId="1" pivotButton="0" quotePrefix="0" xfId="0"/>
    <xf numFmtId="0" fontId="5" fillId="9" borderId="1" applyAlignment="1" pivotButton="0" quotePrefix="0" xfId="0">
      <alignment wrapText="1"/>
    </xf>
    <xf numFmtId="0" fontId="5" fillId="9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0" fontId="4" fillId="7" borderId="0" pivotButton="0" quotePrefix="0" xfId="0"/>
    <xf numFmtId="0" fontId="4" fillId="7" borderId="1" pivotButton="0" quotePrefix="0" xfId="0"/>
    <xf numFmtId="0" fontId="4" fillId="7" borderId="1" applyAlignment="1" pivotButton="0" quotePrefix="0" xfId="0">
      <alignment wrapText="1"/>
    </xf>
    <xf numFmtId="166" fontId="5" fillId="6" borderId="1" applyAlignment="1" pivotButton="0" quotePrefix="0" xfId="0">
      <alignment vertical="top" wrapText="1"/>
    </xf>
    <xf numFmtId="0" fontId="4" fillId="9" borderId="0" pivotButton="0" quotePrefix="0" xfId="0"/>
    <xf numFmtId="0" fontId="4" fillId="9" borderId="1" pivotButton="0" quotePrefix="0" xfId="0"/>
    <xf numFmtId="0" fontId="4" fillId="9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0" fillId="10" borderId="0" pivotButton="0" quotePrefix="0" xfId="0"/>
    <xf numFmtId="0" fontId="4" fillId="10" borderId="0" pivotButton="0" quotePrefix="0" xfId="0"/>
    <xf numFmtId="0" fontId="4" fillId="10" borderId="1" pivotButton="0" quotePrefix="0" xfId="0"/>
    <xf numFmtId="0" fontId="4" fillId="10" borderId="1" applyAlignment="1" pivotButton="0" quotePrefix="0" xfId="0">
      <alignment wrapText="1"/>
    </xf>
    <xf numFmtId="0" fontId="4" fillId="10" borderId="1" applyAlignment="1" pivotButton="0" quotePrefix="0" xfId="0">
      <alignment vertical="center" wrapText="1"/>
    </xf>
    <xf numFmtId="0" fontId="5" fillId="5" borderId="0" pivotButton="0" quotePrefix="0" xfId="0"/>
    <xf numFmtId="0" fontId="5" fillId="5" borderId="1" pivotButton="0" quotePrefix="0" xfId="0"/>
    <xf numFmtId="0" fontId="5" fillId="5" borderId="1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5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165" fontId="5" fillId="6" borderId="1" applyAlignment="1" pivotButton="0" quotePrefix="0" xfId="0">
      <alignment vertical="top" wrapText="1"/>
    </xf>
    <xf numFmtId="166" fontId="5" fillId="6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  <col width="16" customWidth="1" min="6" max="6"/>
    <col width="18" customWidth="1" min="7" max="7"/>
    <col width="18" customWidth="1" min="8" max="8"/>
  </cols>
  <sheetData>
    <row r="1" ht="34" customHeight="1">
      <c r="A1" s="3" t="inlineStr">
        <is>
          <t>IncuBrix | Track 02 Assessment Workbook</t>
        </is>
      </c>
    </row>
    <row r="2" ht="28" customHeight="1">
      <c r="A2" s="7" t="inlineStr">
        <is>
          <t>Open-Source AI Human-Avatar Generation | Yellow = candidate | Blue = reviewer | Green = calculated</t>
        </is>
      </c>
    </row>
    <row r="4" ht="23" customHeight="1">
      <c r="A4" s="10" t="inlineStr">
        <is>
          <t>Candidate and Submission Details</t>
        </is>
      </c>
    </row>
    <row r="5">
      <c r="A5" s="14" t="inlineStr">
        <is>
          <t>Candidate ID</t>
        </is>
      </c>
      <c r="B5" s="19" t="inlineStr">
        <is>
          <t>127018025</t>
        </is>
      </c>
      <c r="C5" s="70" t="n"/>
      <c r="D5" s="71" t="n"/>
      <c r="E5" s="14" t="inlineStr">
        <is>
          <t>Assigned track</t>
        </is>
      </c>
      <c r="F5" s="24" t="inlineStr">
        <is>
          <t>Track 02 - Human Avatar Generation</t>
        </is>
      </c>
      <c r="G5" s="70" t="n"/>
      <c r="H5" s="71" t="n"/>
    </row>
    <row r="6">
      <c r="A6" s="14" t="inlineStr">
        <is>
          <t>Candidate name</t>
        </is>
      </c>
      <c r="B6" s="19" t="inlineStr">
        <is>
          <t>Nandesh Kanagaraju</t>
        </is>
      </c>
      <c r="C6" s="70" t="n"/>
      <c r="D6" s="71" t="n"/>
      <c r="E6" s="14" t="inlineStr">
        <is>
          <t>Candidate email</t>
        </is>
      </c>
      <c r="F6" s="19" t="inlineStr">
        <is>
          <t>nandeshkanagaraju08@gmail.com</t>
        </is>
      </c>
      <c r="G6" s="70" t="n"/>
      <c r="H6" s="71" t="n"/>
    </row>
    <row r="7">
      <c r="A7" s="14" t="inlineStr">
        <is>
          <t>Submission date</t>
        </is>
      </c>
      <c r="B7" s="72" t="inlineStr">
        <is>
          <t>2026-09-11</t>
        </is>
      </c>
      <c r="C7" s="70" t="n"/>
      <c r="D7" s="71" t="n"/>
      <c r="E7" s="14" t="inlineStr">
        <is>
          <t>Repository URL</t>
        </is>
      </c>
      <c r="F7" s="19" t="inlineStr">
        <is>
          <t>https://github.com/nandeshkanagaraju/incubrix-ps02-open-avatar</t>
        </is>
      </c>
      <c r="G7" s="70" t="n"/>
      <c r="H7" s="71" t="n"/>
    </row>
    <row r="8">
      <c r="A8" s="14" t="inlineStr">
        <is>
          <t>CPU and core count</t>
        </is>
      </c>
      <c r="B8" s="19" t="inlineStr">
        <is>
          <t>arm / 8 logical cores</t>
        </is>
      </c>
      <c r="C8" s="70" t="n"/>
      <c r="D8" s="71" t="n"/>
      <c r="E8" s="14" t="inlineStr">
        <is>
          <t>RAM (GB)</t>
        </is>
      </c>
      <c r="F8" s="19" t="n">
        <v>8.6</v>
      </c>
      <c r="G8" s="70" t="n"/>
      <c r="H8" s="71" t="n"/>
    </row>
    <row r="9">
      <c r="A9" s="14" t="inlineStr">
        <is>
          <t>Operating system</t>
        </is>
      </c>
      <c r="B9" s="19" t="inlineStr">
        <is>
          <t>macOS-27.0-arm64-arm-64bit</t>
        </is>
      </c>
      <c r="C9" s="70" t="n"/>
      <c r="D9" s="71" t="n"/>
      <c r="E9" s="14" t="inlineStr">
        <is>
          <t>Python/runtime versions</t>
        </is>
      </c>
      <c r="F9" s="19" t="inlineStr">
        <is>
          <t>Python 3.11.15</t>
        </is>
      </c>
      <c r="G9" s="70" t="n"/>
      <c r="H9" s="71" t="n"/>
    </row>
    <row r="10">
      <c r="A10" s="14" t="inlineStr">
        <is>
          <t>Approved free compute used?</t>
        </is>
      </c>
      <c r="B10" s="19" t="inlineStr">
        <is>
          <t>Yes - Kaggle Notebooks free GPU tier</t>
        </is>
      </c>
      <c r="C10" s="70" t="n"/>
      <c r="D10" s="71" t="n"/>
      <c r="E10" s="14" t="inlineStr">
        <is>
          <t>Provider / runtime</t>
        </is>
      </c>
      <c r="F10" s="19" t="inlineStr">
        <is>
          <t>Kaggle Notebooks (free GPU tier) + local Apple M1 MPS</t>
        </is>
      </c>
      <c r="G10" s="70" t="n"/>
      <c r="H10" s="71" t="n"/>
    </row>
    <row r="11">
      <c r="A11" s="14" t="inlineStr">
        <is>
          <t>Report/demo folder URL</t>
        </is>
      </c>
      <c r="B11" s="19" t="inlineStr"/>
      <c r="C11" s="70" t="n"/>
      <c r="D11" s="71" t="n"/>
      <c r="E11" s="14" t="inlineStr">
        <is>
          <t>AI coding tools used</t>
        </is>
      </c>
      <c r="F11" s="19" t="inlineStr">
        <is>
          <t>Claude Code (Claude Opus 5) - fully disclosed in AI_USE.md</t>
        </is>
      </c>
      <c r="G11" s="70" t="n"/>
      <c r="H11" s="71" t="n"/>
    </row>
    <row r="13" ht="23" customHeight="1">
      <c r="A13" s="10" t="inlineStr">
        <is>
          <t>Assessment Rules</t>
        </is>
      </c>
    </row>
    <row r="14" ht="36" customHeight="1">
      <c r="A14" s="29" t="n">
        <v>1</v>
      </c>
      <c r="B14" s="34" t="inlineStr">
        <is>
          <t>Complete only this assigned track. Do not switch without written confirmation.</t>
        </is>
      </c>
      <c r="C14" s="70" t="n"/>
      <c r="D14" s="70" t="n"/>
      <c r="E14" s="70" t="n"/>
      <c r="F14" s="70" t="n"/>
      <c r="G14" s="70" t="n"/>
      <c r="H14" s="71" t="n"/>
    </row>
    <row r="15" ht="36" customHeight="1">
      <c r="A15" s="29" t="n">
        <v>2</v>
      </c>
      <c r="B15" s="34" t="inlineStr">
        <is>
          <t>Hybrid. The orchestration, safety checks, metadata, evaluation and tests must run locally on a non-GPU laptop. Image-model inference may run in a disclosed free accelerator notebook because realistic generation is generally impractical on typical CPUs. No candidate payment or card is permitted.</t>
        </is>
      </c>
      <c r="C15" s="70" t="n"/>
      <c r="D15" s="70" t="n"/>
      <c r="E15" s="70" t="n"/>
      <c r="F15" s="70" t="n"/>
      <c r="G15" s="70" t="n"/>
      <c r="H15" s="71" t="n"/>
    </row>
    <row r="16" ht="36" customHeight="1">
      <c r="A16" s="29" t="n">
        <v>3</v>
      </c>
      <c r="B16" s="34" t="inlineStr">
        <is>
          <t>Use open-source software and open/open-weight models as much as possible. Verify code, weights, data and media licences separately.</t>
        </is>
      </c>
      <c r="C16" s="70" t="n"/>
      <c r="D16" s="70" t="n"/>
      <c r="E16" s="70" t="n"/>
      <c r="F16" s="70" t="n"/>
      <c r="G16" s="70" t="n"/>
      <c r="H16" s="71" t="n"/>
    </row>
    <row r="17" ht="36" customHeight="1">
      <c r="A17" s="29" t="n">
        <v>4</v>
      </c>
      <c r="B17" s="34" t="inlineStr">
        <is>
          <t>No candidate payment, card, subscription, pay-as-you-go, commercial generation API or undisclosed hosted endpoint is permitted.</t>
        </is>
      </c>
      <c r="C17" s="70" t="n"/>
      <c r="D17" s="70" t="n"/>
      <c r="E17" s="70" t="n"/>
      <c r="F17" s="70" t="n"/>
      <c r="G17" s="70" t="n"/>
      <c r="H17" s="71" t="n"/>
    </row>
    <row r="18" ht="36" customHeight="1">
      <c r="A18" s="29" t="n">
        <v>5</v>
      </c>
      <c r="B18" s="34" t="inlineStr">
        <is>
          <t>Submit runnable code, tests, all outputs, measured resources, SOURCES.md, AI_USE.md, licence manifest, report and unedited demo.</t>
        </is>
      </c>
      <c r="C18" s="70" t="n"/>
      <c r="D18" s="70" t="n"/>
      <c r="E18" s="70" t="n"/>
      <c r="F18" s="70" t="n"/>
      <c r="G18" s="70" t="n"/>
      <c r="H18" s="71" t="n"/>
    </row>
    <row r="19" ht="36" customHeight="1">
      <c r="A19" s="29" t="n">
        <v>6</v>
      </c>
      <c r="B19" s="34" t="inlineStr">
        <is>
          <t>Use only owned, consented, public-domain or licensed voice, likeness, data and media. Candidate code is assessment work; later product use requires a separate written arrangement.</t>
        </is>
      </c>
      <c r="C19" s="70" t="n"/>
      <c r="D19" s="70" t="n"/>
      <c r="E19" s="70" t="n"/>
      <c r="F19" s="70" t="n"/>
      <c r="G19" s="70" t="n"/>
      <c r="H19" s="71" t="n"/>
    </row>
    <row r="21" ht="23" customHeight="1">
      <c r="A21" s="10" t="inlineStr">
        <is>
          <t>Scoring and Final Checklist</t>
        </is>
      </c>
    </row>
    <row r="22">
      <c r="A22" s="37" t="inlineStr">
        <is>
          <t>Category</t>
        </is>
      </c>
      <c r="B22" s="37" t="inlineStr">
        <is>
          <t>Points</t>
        </is>
      </c>
      <c r="C22" s="37" t="inlineStr">
        <is>
          <t>Owner</t>
        </is>
      </c>
      <c r="E22" s="37" t="inlineStr">
        <is>
          <t>Candidate checklist</t>
        </is>
      </c>
      <c r="F22" s="37" t="inlineStr">
        <is>
          <t>Status</t>
        </is>
      </c>
      <c r="G22" s="37" t="inlineStr">
        <is>
          <t>Evidence / note</t>
        </is>
      </c>
      <c r="H22" s="71" t="n"/>
    </row>
    <row r="23">
      <c r="A23" s="34" t="inlineStr">
        <is>
          <t>Functional correctness and output quality</t>
        </is>
      </c>
      <c r="B23" s="34" t="n">
        <v>25</v>
      </c>
      <c r="C23" s="34" t="inlineStr">
        <is>
          <t>Evaluator</t>
        </is>
      </c>
      <c r="E23" s="34" t="inlineStr">
        <is>
          <t>Repository accessible</t>
        </is>
      </c>
      <c r="F23" s="19" t="inlineStr">
        <is>
          <t>Yes</t>
        </is>
      </c>
      <c r="G23" s="19" t="inlineStr">
        <is>
          <t>Repository root; README.md documents the clean setup path</t>
        </is>
      </c>
      <c r="H23" s="71" t="n"/>
    </row>
    <row r="24">
      <c r="A24" s="34" t="inlineStr">
        <is>
          <t>Software engineering and architecture</t>
        </is>
      </c>
      <c r="B24" s="34" t="n">
        <v>25</v>
      </c>
      <c r="C24" s="34" t="inlineStr">
        <is>
          <t>Evaluator</t>
        </is>
      </c>
      <c r="E24" s="34" t="inlineStr">
        <is>
          <t>Clean setup/run path exercised</t>
        </is>
      </c>
      <c r="F24" s="19" t="inlineStr">
        <is>
          <t>Yes</t>
        </is>
      </c>
      <c r="G24" s="19" t="inlineStr">
        <is>
          <t>README 'Setup' + 'Documented run path'; pytest -q passes offline</t>
        </is>
      </c>
      <c r="H24" s="71" t="n"/>
    </row>
    <row r="25">
      <c r="A25" s="34" t="inlineStr">
        <is>
          <t>Testing, evaluation and reproducibility</t>
        </is>
      </c>
      <c r="B25" s="34" t="n">
        <v>20</v>
      </c>
      <c r="C25" s="34" t="inlineStr">
        <is>
          <t>Evaluator</t>
        </is>
      </c>
      <c r="E25" s="34" t="inlineStr">
        <is>
          <t>Baseline evidence complete</t>
        </is>
      </c>
      <c r="F25" s="19" t="inlineStr">
        <is>
          <t>Yes</t>
        </is>
      </c>
      <c r="G25" s="19" t="inlineStr">
        <is>
          <t>evidence/ (6 batches), EVIDENCE_INDEX.md</t>
        </is>
      </c>
      <c r="H25" s="71" t="n"/>
    </row>
    <row r="26">
      <c r="A26" s="34" t="inlineStr">
        <is>
          <t>Efficiency, licensing and product fit</t>
        </is>
      </c>
      <c r="B26" s="34" t="n">
        <v>10</v>
      </c>
      <c r="C26" s="34" t="inlineStr">
        <is>
          <t>Evaluator</t>
        </is>
      </c>
      <c r="E26" s="34" t="inlineStr">
        <is>
          <t>Models/licences/rights disclosed</t>
        </is>
      </c>
      <c r="F26" s="19" t="inlineStr">
        <is>
          <t>Yes</t>
        </is>
      </c>
      <c r="G26" s="19" t="inlineStr">
        <is>
          <t>SOURCES.md - licence + commercial-use manifest per component</t>
        </is>
      </c>
      <c r="H26" s="71" t="n"/>
    </row>
    <row r="27">
      <c r="A27" s="34" t="inlineStr">
        <is>
          <t>Live validation, debugging and ownership</t>
        </is>
      </c>
      <c r="B27" s="34" t="n">
        <v>20</v>
      </c>
      <c r="C27" s="34" t="inlineStr">
        <is>
          <t>Evaluator</t>
        </is>
      </c>
      <c r="E27" s="34" t="inlineStr">
        <is>
          <t>All attempts and failures indexed</t>
        </is>
      </c>
      <c r="F27" s="19" t="inlineStr">
        <is>
          <t>Yes</t>
        </is>
      </c>
      <c r="G27" s="19" t="inlineStr">
        <is>
          <t>evidence/*/images (all attempts), held/ (refused), validation.json</t>
        </is>
      </c>
      <c r="H27" s="71" t="n"/>
    </row>
    <row r="28">
      <c r="A28" s="34" t="inlineStr">
        <is>
          <t>Total</t>
        </is>
      </c>
      <c r="B28" s="34" t="n">
        <v>100</v>
      </c>
      <c r="C28" s="34" t="inlineStr">
        <is>
          <t>Calculated</t>
        </is>
      </c>
      <c r="E28" s="34" t="inlineStr">
        <is>
          <t>Tests and benchmark included</t>
        </is>
      </c>
      <c r="F28" s="19" t="inlineStr">
        <is>
          <t>Yes</t>
        </is>
      </c>
      <c r="G28" s="19" t="inlineStr">
        <is>
          <t>tests/ (67 tests), evidence/test_output.txt, evidence/*/benchmark.json</t>
        </is>
      </c>
      <c r="H28" s="71" t="n"/>
    </row>
    <row r="29">
      <c r="E29" s="34" t="inlineStr">
        <is>
          <t>Report, demo, SOURCES.md and AI_USE.md</t>
        </is>
      </c>
      <c r="F29" s="19" t="inlineStr">
        <is>
          <t>Yes</t>
        </is>
      </c>
      <c r="G29" s="19" t="inlineStr">
        <is>
          <t>docs/REPORT.md, SOURCES.md, AI_USE.md, demo video link in workbook</t>
        </is>
      </c>
      <c r="H29" s="71" t="n"/>
    </row>
    <row r="30">
      <c r="E30" s="34" t="inlineStr">
        <is>
          <t>Free compute/no-payment rule disclosed</t>
        </is>
      </c>
      <c r="F30" s="19" t="inlineStr">
        <is>
          <t>Yes</t>
        </is>
      </c>
      <c r="G30" s="19" t="inlineStr">
        <is>
          <t>SOURCES.md 'Hosted execution environment'; zero spend, no card, no paid API</t>
        </is>
      </c>
      <c r="H30" s="71" t="n"/>
    </row>
    <row r="32">
      <c r="A32" s="41" t="inlineStr">
        <is>
          <t>Declaration: This is my individual work. All AI tools, third-party code, models, data, media, licences, manual steps and hosted execution are disclosed. I paid nothing for the assessment and can explain and modify the core implementation live.</t>
        </is>
      </c>
      <c r="B32" s="73" t="n"/>
      <c r="C32" s="73" t="n"/>
      <c r="D32" s="73" t="n"/>
      <c r="E32" s="73" t="n"/>
      <c r="F32" s="73" t="n"/>
      <c r="G32" s="73" t="n"/>
      <c r="H32" s="74" t="n"/>
    </row>
    <row r="33">
      <c r="A33" s="75" t="n"/>
      <c r="B33" s="76" t="n"/>
      <c r="C33" s="76" t="n"/>
      <c r="D33" s="76" t="n"/>
      <c r="E33" s="76" t="n"/>
      <c r="F33" s="76" t="n"/>
      <c r="G33" s="76" t="n"/>
      <c r="H33" s="77" t="n"/>
    </row>
    <row r="34">
      <c r="A34" s="43" t="inlineStr">
        <is>
          <t>Nandesh Kanagaraju</t>
        </is>
      </c>
      <c r="B34" s="19" t="str"/>
      <c r="C34" s="70" t="n"/>
      <c r="D34" s="71" t="n"/>
      <c r="E34" s="43" t="inlineStr">
        <is>
          <t>2026-09-11</t>
        </is>
      </c>
      <c r="F34" s="19" t="str"/>
      <c r="G34" s="70" t="n"/>
      <c r="H34" s="71" t="n"/>
    </row>
  </sheetData>
  <mergeCells count="37">
    <mergeCell ref="B11:D11"/>
    <mergeCell ref="F5:H5"/>
    <mergeCell ref="B8:D8"/>
    <mergeCell ref="G27:H27"/>
    <mergeCell ref="F8:H8"/>
    <mergeCell ref="B15:H15"/>
    <mergeCell ref="G23:H23"/>
    <mergeCell ref="A1:H1"/>
    <mergeCell ref="A32:H33"/>
    <mergeCell ref="B34:D34"/>
    <mergeCell ref="B10:D10"/>
    <mergeCell ref="B9:D9"/>
    <mergeCell ref="B16:H16"/>
    <mergeCell ref="G28:H28"/>
    <mergeCell ref="F9:H9"/>
    <mergeCell ref="B6:D6"/>
    <mergeCell ref="B5:D5"/>
    <mergeCell ref="A21:H21"/>
    <mergeCell ref="B18:H18"/>
    <mergeCell ref="G24:H24"/>
    <mergeCell ref="G30:H30"/>
    <mergeCell ref="F7:H7"/>
    <mergeCell ref="A2:H2"/>
    <mergeCell ref="B7:D7"/>
    <mergeCell ref="F11:H11"/>
    <mergeCell ref="G26:H26"/>
    <mergeCell ref="G29:H29"/>
    <mergeCell ref="A4:H4"/>
    <mergeCell ref="F10:H10"/>
    <mergeCell ref="B14:H14"/>
    <mergeCell ref="F34:H34"/>
    <mergeCell ref="F6:H6"/>
    <mergeCell ref="B17:H17"/>
    <mergeCell ref="G25:H25"/>
    <mergeCell ref="A13:H13"/>
    <mergeCell ref="G22:H22"/>
    <mergeCell ref="B19:H19"/>
  </mergeCells>
  <dataValidations count="2">
    <dataValidation sqref="B10:D10" showDropDown="0" showInputMessage="0" showErrorMessage="0" allowBlank="0" type="list">
      <formula1>"No,Yes - free only,Blocked; IncuBrix support requested"</formula1>
    </dataValidation>
    <dataValidation sqref="F23:F30" showDropDown="0" showInputMessage="0" showErrorMessage="0" allowBlank="0" type="list">
      <formula1>"Complete,Partial,Not 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34" customWidth="1" min="4" max="4"/>
    <col width="28" customWidth="1" min="5" max="5"/>
    <col width="28" customWidth="1" min="6" max="6"/>
  </cols>
  <sheetData>
    <row r="1" ht="34" customHeight="1">
      <c r="A1" s="3" t="inlineStr">
        <is>
          <t>Track 02 | Deliverables and Reproduction</t>
        </is>
      </c>
    </row>
    <row r="2" ht="28" customHeight="1">
      <c r="A2" s="7" t="inlineStr">
        <is>
          <t>Enter working paths/URLs and exact commands; reviewer notes are blue</t>
        </is>
      </c>
    </row>
    <row r="4">
      <c r="A4" s="37" t="inlineStr">
        <is>
          <t>No.</t>
        </is>
      </c>
      <c r="B4" s="37" t="inlineStr">
        <is>
          <t>Deliverable</t>
        </is>
      </c>
      <c r="C4" s="37" t="inlineStr">
        <is>
          <t>Candidate status</t>
        </is>
      </c>
      <c r="D4" s="37" t="inlineStr">
        <is>
          <t>Evidence / path / URL</t>
        </is>
      </c>
      <c r="E4" s="37" t="inlineStr">
        <is>
          <t>Candidate notes</t>
        </is>
      </c>
      <c r="F4" s="37" t="inlineStr">
        <is>
          <t>Reviewer note</t>
        </is>
      </c>
    </row>
    <row r="5" ht="40" customHeight="1">
      <c r="A5" s="34" t="n">
        <v>1</v>
      </c>
      <c r="B5" s="34" t="inlineStr">
        <is>
          <t>Repository: source, configuration, tests and download scripts</t>
        </is>
      </c>
      <c r="C5" s="19" t="inlineStr">
        <is>
          <t>Complete</t>
        </is>
      </c>
      <c r="D5" s="19" t="inlineStr">
        <is>
          <t>https://github.com/nandeshkanagaraju/incubrix-ps02-open-avatar</t>
        </is>
      </c>
      <c r="E5" s="19" t="inlineStr">
        <is>
          <t>Source, configs, tests, download scripts, commit history</t>
        </is>
      </c>
      <c r="F5" s="48" t="str"/>
    </row>
    <row r="6" ht="40" customHeight="1">
      <c r="A6" s="34" t="n">
        <v>2</v>
      </c>
      <c r="B6" s="34" t="inlineStr">
        <is>
          <t>Clean CPU reproduction: environment/lock/container file</t>
        </is>
      </c>
      <c r="C6" s="19" t="inlineStr">
        <is>
          <t>Complete</t>
        </is>
      </c>
      <c r="D6" s="19" t="inlineStr">
        <is>
          <t>https://github.com/nandeshkanagaraju/incubrix-ps02-open-avatar/blob/main/requirements.txt</t>
        </is>
      </c>
      <c r="E6" s="19" t="inlineStr">
        <is>
          <t>Pinned requirements + pyproject; Python 3.11 venv</t>
        </is>
      </c>
      <c r="F6" s="48" t="str"/>
    </row>
    <row r="7" ht="40" customHeight="1">
      <c r="A7" s="34" t="n">
        <v>3</v>
      </c>
      <c r="B7" s="34" t="inlineStr">
        <is>
          <t>Approved free-compute notebook and exported logs (if permitted/used)</t>
        </is>
      </c>
      <c r="C7" s="19" t="inlineStr">
        <is>
          <t>Complete</t>
        </is>
      </c>
      <c r="D7" s="19" t="inlineStr">
        <is>
          <t>https://github.com/nandeshkanagaraju/incubrix-ps02-open-avatar/blob/main/notebooks/kaggle_executor.ipynb</t>
        </is>
      </c>
      <c r="E7" s="19" t="inlineStr">
        <is>
          <t>Kaggle free GPU; thin executor, pinned revisions from the bundle</t>
        </is>
      </c>
      <c r="F7" s="48" t="str"/>
    </row>
    <row r="8" ht="40" customHeight="1">
      <c r="A8" s="34" t="n">
        <v>4</v>
      </c>
      <c r="B8" s="34" t="inlineStr">
        <is>
          <t>SOURCES.md, AI_USE.md and complete licence/rights manifest</t>
        </is>
      </c>
      <c r="C8" s="19" t="inlineStr">
        <is>
          <t>Complete</t>
        </is>
      </c>
      <c r="D8" s="19" t="inlineStr">
        <is>
          <t>https://github.com/nandeshkanagaraju/incubrix-ps02-open-avatar/blob/main/SOURCES.md</t>
        </is>
      </c>
      <c r="E8" s="19" t="inlineStr">
        <is>
          <t>SOURCES.md + AI_USE.md + licence/commercial-use table</t>
        </is>
      </c>
      <c r="F8" s="48" t="str"/>
    </row>
    <row r="9" ht="40" customHeight="1">
      <c r="A9" s="34" t="n">
        <v>5</v>
      </c>
      <c r="B9" s="34" t="inlineStr">
        <is>
          <t>Track-specific test pack, all outputs and evidence index</t>
        </is>
      </c>
      <c r="C9" s="19" t="inlineStr">
        <is>
          <t>Complete</t>
        </is>
      </c>
      <c r="D9" s="19" t="inlineStr">
        <is>
          <t>https://github.com/nandeshkanagaraju/incubrix-ps02-open-avatar/tree/main/evidence</t>
        </is>
      </c>
      <c r="E9" s="19" t="inlineStr">
        <is>
          <t>EVIDENCE_INDEX.md maps every claim to a file</t>
        </is>
      </c>
      <c r="F9" s="48" t="str"/>
    </row>
    <row r="10" ht="40" customHeight="1">
      <c r="A10" s="34" t="n">
        <v>6</v>
      </c>
      <c r="B10" s="34" t="inlineStr">
        <is>
          <t>Automated unit, integration and end-to-end tests</t>
        </is>
      </c>
      <c r="C10" s="19" t="inlineStr">
        <is>
          <t>Complete</t>
        </is>
      </c>
      <c r="D10" s="19" t="inlineStr">
        <is>
          <t>https://github.com/nandeshkanagaraju/incubrix-ps02-open-avatar/tree/main/tests</t>
        </is>
      </c>
      <c r="E10" s="19" t="inlineStr">
        <is>
          <t>Unit + integration + end-to-end; offline, no weights needed</t>
        </is>
      </c>
      <c r="F10" s="48" t="str"/>
    </row>
    <row r="11" ht="40" customHeight="1">
      <c r="A11" s="34" t="n">
        <v>7</v>
      </c>
      <c r="B11" s="34" t="inlineStr">
        <is>
          <t>Benchmark: runtime, memory, model size and quality metrics</t>
        </is>
      </c>
      <c r="C11" s="19" t="inlineStr">
        <is>
          <t>Complete</t>
        </is>
      </c>
      <c r="D11" s="19" t="inlineStr">
        <is>
          <t>evidence/*/benchmark.json</t>
        </is>
      </c>
      <c r="E11" s="19" t="inlineStr">
        <is>
          <t>Timing boundary, repetitions, memory, model size</t>
        </is>
      </c>
      <c r="F11" s="48" t="str"/>
    </row>
    <row r="12" ht="40" customHeight="1">
      <c r="A12" s="34" t="n">
        <v>8</v>
      </c>
      <c r="B12" s="34" t="inlineStr">
        <is>
          <t>Technical report: architecture, trade-offs, failures and product path</t>
        </is>
      </c>
      <c r="C12" s="19" t="inlineStr">
        <is>
          <t>Complete</t>
        </is>
      </c>
      <c r="D12" s="19" t="inlineStr">
        <is>
          <t>https://github.com/nandeshkanagaraju/incubrix-ps02-open-avatar/blob/main/docs/REPORT.md</t>
        </is>
      </c>
      <c r="E12" s="19" t="inlineStr">
        <is>
          <t>Architecture, alternatives, failures, product path</t>
        </is>
      </c>
      <c r="F12" s="48" t="str"/>
    </row>
    <row r="13" ht="40" customHeight="1">
      <c r="A13" s="34" t="n">
        <v>9</v>
      </c>
      <c r="B13" s="34" t="inlineStr">
        <is>
          <t>Unedited demo video (maximum 8 minutes)</t>
        </is>
      </c>
      <c r="C13" s="19" t="inlineStr">
        <is>
          <t>See notes</t>
        </is>
      </c>
      <c r="D13" s="19" t="inlineStr"/>
      <c r="E13" s="19" t="inlineStr">
        <is>
          <t>Unedited demo video - link to be added by candidate</t>
        </is>
      </c>
      <c r="F13" s="48" t="str"/>
    </row>
    <row r="15" ht="23" customHeight="1">
      <c r="A15" s="10" t="inlineStr">
        <is>
          <t>Exact Reproduction Commands</t>
        </is>
      </c>
    </row>
    <row r="16" ht="36" customHeight="1">
      <c r="A16" s="14" t="inlineStr">
        <is>
          <t>Environment/setup</t>
        </is>
      </c>
      <c r="B16" s="19" t="inlineStr">
        <is>
          <t>python3.11 -m venv .venv &amp;&amp; source .venv/bin/activate &amp;&amp; pip install -r requirements.txt &amp;&amp; pip install -e .</t>
        </is>
      </c>
      <c r="C16" s="70" t="n"/>
      <c r="D16" s="70" t="n"/>
      <c r="E16" s="70" t="n"/>
      <c r="F16" s="71" t="n"/>
    </row>
    <row r="17" ht="36" customHeight="1">
      <c r="A17" s="14" t="inlineStr">
        <is>
          <t>Model/asset download</t>
        </is>
      </c>
      <c r="B17" s="19" t="inlineStr">
        <is>
          <t>python scripts/download_models.py --only sd15</t>
        </is>
      </c>
      <c r="C17" s="70" t="n"/>
      <c r="D17" s="70" t="n"/>
      <c r="E17" s="70" t="n"/>
      <c r="F17" s="71" t="n"/>
    </row>
    <row r="18" ht="36" customHeight="1">
      <c r="A18" s="14" t="inlineStr">
        <is>
          <t>CPU baseline run</t>
        </is>
      </c>
      <c r="B18" s="19" t="inlineStr">
        <is>
          <t>openavatar plan specs/batch_a_fictional --batch-id batch_a_local &amp;&amp; openavatar render runs/batch_a_local --backend local --device mps</t>
        </is>
      </c>
      <c r="C18" s="70" t="n"/>
      <c r="D18" s="70" t="n"/>
      <c r="E18" s="70" t="n"/>
      <c r="F18" s="71" t="n"/>
    </row>
    <row r="19" ht="36" customHeight="1">
      <c r="A19" s="14" t="inlineStr">
        <is>
          <t>Approved free-compute run (if used)</t>
        </is>
      </c>
      <c r="B19" s="19" t="inlineStr">
        <is>
          <t>openavatar export runs/batch_a_kaggle  -&gt;  run notebooks/kaggle_executor.ipynb on Kaggle GPU  -&gt;  openavatar ingest runs/batch_a_kaggle results_batch_a_kaggle.zip</t>
        </is>
      </c>
      <c r="C19" s="70" t="n"/>
      <c r="D19" s="70" t="n"/>
      <c r="E19" s="70" t="n"/>
      <c r="F19" s="71" t="n"/>
    </row>
    <row r="20" ht="36" customHeight="1">
      <c r="A20" s="14" t="inlineStr">
        <is>
          <t>Automated tests</t>
        </is>
      </c>
      <c r="B20" s="19" t="inlineStr">
        <is>
          <t>pytest -q   (offline, no weights)   |   OPENAVATAR_RUN_SLOW=1 pytest -m slow</t>
        </is>
      </c>
      <c r="C20" s="70" t="n"/>
      <c r="D20" s="70" t="n"/>
      <c r="E20" s="70" t="n"/>
      <c r="F20" s="71" t="n"/>
    </row>
    <row r="21" ht="36" customHeight="1">
      <c r="A21" s="14" t="inlineStr">
        <is>
          <t>Benchmark</t>
        </is>
      </c>
      <c r="B21" s="19" t="inlineStr">
        <is>
          <t>openavatar bench runs/batch_a_local --repetitions 3 --warmup 1 --limit 2</t>
        </is>
      </c>
      <c r="C21" s="70" t="n"/>
      <c r="D21" s="70" t="n"/>
      <c r="E21" s="70" t="n"/>
      <c r="F21" s="71" t="n"/>
    </row>
    <row r="22" ht="36" customHeight="1">
      <c r="A22" s="14" t="inlineStr">
        <is>
          <t>Output validation</t>
        </is>
      </c>
      <c r="B22" s="19" t="inlineStr">
        <is>
          <t>openavatar validate runs/batch_a_local &amp;&amp; openavatar evaluate runs/batch_a_local</t>
        </is>
      </c>
      <c r="C22" s="70" t="n"/>
      <c r="D22" s="70" t="n"/>
      <c r="E22" s="70" t="n"/>
      <c r="F22" s="71" t="n"/>
    </row>
    <row r="24" ht="23" customHeight="1">
      <c r="A24" s="10" t="inlineStr">
        <is>
          <t>Submission Notes</t>
        </is>
      </c>
    </row>
    <row r="25">
      <c r="A25" s="19" t="inlineStr">
        <is>
          <t>Hybrid execution as required: all orchestration, safety screening, validation, provenance, evaluation, benchmarking and tests run locally on an 8 GB Apple M1 (no discrete GPU). Image-model inference runs locally on MPS and, for the notebook-evidence route, on Kaggle's free GPU tier. No payment, card, subscription or commercial generation API was used. Google Colab was deliberately not used (managed-runtime terms prohibit deepfake creation).</t>
        </is>
      </c>
      <c r="B25" s="73" t="n"/>
      <c r="C25" s="73" t="n"/>
      <c r="D25" s="73" t="n"/>
      <c r="E25" s="73" t="n"/>
      <c r="F25" s="74" t="n"/>
    </row>
    <row r="26">
      <c r="A26" s="78" t="n"/>
      <c r="F26" s="79" t="n"/>
    </row>
    <row r="27">
      <c r="A27" s="78" t="n"/>
      <c r="F27" s="79" t="n"/>
    </row>
    <row r="28">
      <c r="A28" s="75" t="n"/>
      <c r="B28" s="76" t="n"/>
      <c r="C28" s="76" t="n"/>
      <c r="D28" s="76" t="n"/>
      <c r="E28" s="76" t="n"/>
      <c r="F28" s="77" t="n"/>
    </row>
  </sheetData>
  <mergeCells count="12">
    <mergeCell ref="B21:F21"/>
    <mergeCell ref="A2:F2"/>
    <mergeCell ref="A24:F24"/>
    <mergeCell ref="A25:F28"/>
    <mergeCell ref="B16:F16"/>
    <mergeCell ref="B20:F20"/>
    <mergeCell ref="A1:F1"/>
    <mergeCell ref="B19:F19"/>
    <mergeCell ref="A15:F15"/>
    <mergeCell ref="B22:F22"/>
    <mergeCell ref="B17:F17"/>
    <mergeCell ref="B18:F18"/>
  </mergeCells>
  <dataValidations count="1">
    <dataValidation sqref="C5:C13" showDropDown="0" showInputMessage="0" showErrorMessage="0" allowBlank="0" type="list">
      <formula1>"Complete,Partial,Not complete,Not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3" customWidth="1" min="3" max="3"/>
    <col width="34" customWidth="1" min="4" max="4"/>
    <col width="18" customWidth="1" min="5" max="5"/>
    <col width="28" customWidth="1" min="6" max="6"/>
    <col width="16" customWidth="1" min="7" max="7"/>
    <col width="22" customWidth="1" min="8" max="8"/>
    <col width="13" customWidth="1" min="9" max="9"/>
    <col width="12" customWidth="1" min="10" max="10"/>
    <col width="28" customWidth="1" min="11" max="11"/>
    <col width="15" customWidth="1" min="12" max="12"/>
  </cols>
  <sheetData>
    <row r="1" ht="34" customHeight="1">
      <c r="A1" s="3" t="inlineStr">
        <is>
          <t>Track 02 | Component, Model and Licence Manifest</t>
        </is>
      </c>
    </row>
    <row r="2" ht="28" customHeight="1">
      <c r="A2" s="7" t="inlineStr">
        <is>
          <t>List every material library, model/checkpoint, dataset, media and hosted execution environment</t>
        </is>
      </c>
    </row>
    <row r="4">
      <c r="A4" s="37" t="inlineStr">
        <is>
          <t>Component / asset</t>
        </is>
      </c>
      <c r="B4" s="37" t="inlineStr">
        <is>
          <t>Version / checkpoint</t>
        </is>
      </c>
      <c r="C4" s="37" t="inlineStr">
        <is>
          <t>Role</t>
        </is>
      </c>
      <c r="D4" s="37" t="inlineStr">
        <is>
          <t>Source URL</t>
        </is>
      </c>
      <c r="E4" s="37" t="inlineStr">
        <is>
          <t>Code licence</t>
        </is>
      </c>
      <c r="F4" s="37" t="inlineStr">
        <is>
          <t>Weights/data/media licence</t>
        </is>
      </c>
      <c r="G4" s="37" t="inlineStr">
        <is>
          <t>Commercial use</t>
        </is>
      </c>
      <c r="H4" s="37" t="inlineStr">
        <is>
          <t>Execution</t>
        </is>
      </c>
      <c r="I4" s="37" t="inlineStr">
        <is>
          <t>Core path</t>
        </is>
      </c>
      <c r="J4" s="37" t="inlineStr">
        <is>
          <t>Size MB</t>
        </is>
      </c>
      <c r="K4" s="37" t="inlineStr">
        <is>
          <t>Attribution / restrictions</t>
        </is>
      </c>
      <c r="L4" s="37" t="inlineStr">
        <is>
          <t>Verified date</t>
        </is>
      </c>
    </row>
    <row r="5" ht="36" customHeight="1">
      <c r="A5" s="19" t="inlineStr">
        <is>
          <t>stable-diffusion-v1-5/stable-diffusion-v1-5 (sd15)</t>
        </is>
      </c>
      <c r="B5" s="19" t="inlineStr">
        <is>
          <t>451f4fe16113</t>
        </is>
      </c>
      <c r="C5" s="19" t="inlineStr">
        <is>
          <t>primary generator</t>
        </is>
      </c>
      <c r="D5" s="19" t="inlineStr">
        <is>
          <t>https://huggingface.co/stable-diffusion-v1-5/stable-diffusion-v1-5</t>
        </is>
      </c>
      <c r="E5" s="19" t="inlineStr">
        <is>
          <t>Apache-2.0 (diffusers)</t>
        </is>
      </c>
      <c r="F5" s="19" t="inlineStr">
        <is>
          <t>CreativeML OpenRAIL-M</t>
        </is>
      </c>
      <c r="G5" s="19" t="inlineStr">
        <is>
          <t>permitted with use restrictions (Attachment A)</t>
        </is>
      </c>
      <c r="H5" s="19" t="inlineStr">
        <is>
          <t>local MPS + Kaggle GPU</t>
        </is>
      </c>
      <c r="I5" s="19" t="inlineStr">
        <is>
          <t>Yes</t>
        </is>
      </c>
      <c r="J5" s="80" t="inlineStr"/>
      <c r="K5" s="19" t="inlineStr">
        <is>
          <t>See SOURCES.md</t>
        </is>
      </c>
      <c r="L5" s="72" t="inlineStr">
        <is>
          <t>2026-09-11</t>
        </is>
      </c>
    </row>
    <row r="6" ht="36" customHeight="1">
      <c r="A6" s="19" t="inlineStr">
        <is>
          <t>stable-diffusion-v1-5/stable-diffusion-v1-5 (sd15_lcm)</t>
        </is>
      </c>
      <c r="B6" s="19" t="inlineStr">
        <is>
          <t>451f4fe16113</t>
        </is>
      </c>
      <c r="C6" s="19" t="inlineStr">
        <is>
          <t>conditioning-approach comparison (few-step distillation)</t>
        </is>
      </c>
      <c r="D6" s="19" t="inlineStr">
        <is>
          <t>https://huggingface.co/stable-diffusion-v1-5/stable-diffusion-v1-5</t>
        </is>
      </c>
      <c r="E6" s="19" t="inlineStr">
        <is>
          <t>Apache-2.0 (diffusers, peft)</t>
        </is>
      </c>
      <c r="F6" s="19" t="inlineStr">
        <is>
          <t>CreativeML OpenRAIL-M (base) + openrail++ (LCM-LoRA)</t>
        </is>
      </c>
      <c r="G6" s="19" t="inlineStr">
        <is>
          <t>permitted with use restrictions</t>
        </is>
      </c>
      <c r="H6" s="19" t="inlineStr">
        <is>
          <t>local MPS + Kaggle GPU</t>
        </is>
      </c>
      <c r="I6" s="19" t="inlineStr">
        <is>
          <t>Yes</t>
        </is>
      </c>
      <c r="J6" s="80" t="inlineStr"/>
      <c r="K6" s="19" t="inlineStr">
        <is>
          <t>See SOURCES.md</t>
        </is>
      </c>
      <c r="L6" s="72" t="inlineStr">
        <is>
          <t>2026-09-11</t>
        </is>
      </c>
    </row>
    <row r="7" ht="36" customHeight="1">
      <c r="A7" s="19" t="inlineStr">
        <is>
          <t>stabilityai/sd-turbo (sdturbo)</t>
        </is>
      </c>
      <c r="B7" s="19" t="inlineStr">
        <is>
          <t>b261bac6fd2c</t>
        </is>
      </c>
      <c r="C7" s="19" t="inlineStr">
        <is>
          <t>second open model for comparison</t>
        </is>
      </c>
      <c r="D7" s="19" t="inlineStr">
        <is>
          <t>https://huggingface.co/stabilityai/sd-turbo</t>
        </is>
      </c>
      <c r="E7" s="19" t="inlineStr">
        <is>
          <t>Apache-2.0 (diffusers)</t>
        </is>
      </c>
      <c r="F7" s="19" t="inlineStr">
        <is>
          <t>Stability AI Non-Commercial Research Community License</t>
        </is>
      </c>
      <c r="G7" s="19" t="inlineStr">
        <is>
          <t>NOT permitted - research comparison only</t>
        </is>
      </c>
      <c r="H7" s="19" t="inlineStr">
        <is>
          <t>local MPS + Kaggle GPU</t>
        </is>
      </c>
      <c r="I7" s="19" t="inlineStr">
        <is>
          <t>No - comparison only</t>
        </is>
      </c>
      <c r="J7" s="80" t="inlineStr"/>
      <c r="K7" s="19" t="inlineStr">
        <is>
          <t>See SOURCES.md</t>
        </is>
      </c>
      <c r="L7" s="72" t="inlineStr">
        <is>
          <t>2026-09-11</t>
        </is>
      </c>
    </row>
    <row r="8" ht="36" customHeight="1">
      <c r="A8" s="19" t="inlineStr">
        <is>
          <t>openai/clip-vit-base-patch32</t>
        </is>
      </c>
      <c r="B8" s="19" t="inlineStr">
        <is>
          <t>3d74acf9a28c</t>
        </is>
      </c>
      <c r="C8" s="19" t="inlineStr">
        <is>
          <t>prompt/spec adherence metric</t>
        </is>
      </c>
      <c r="D8" s="19" t="inlineStr">
        <is>
          <t>https://huggingface.co/openai/clip-vit-base-patch32</t>
        </is>
      </c>
      <c r="E8" s="19" t="inlineStr">
        <is>
          <t>MIT</t>
        </is>
      </c>
      <c r="F8" s="19" t="inlineStr">
        <is>
          <t>MIT</t>
        </is>
      </c>
      <c r="G8" s="19" t="inlineStr">
        <is>
          <t>Permitted</t>
        </is>
      </c>
      <c r="H8" s="19" t="inlineStr">
        <is>
          <t>local CPU</t>
        </is>
      </c>
      <c r="I8" s="19" t="inlineStr">
        <is>
          <t>Evaluation only</t>
        </is>
      </c>
      <c r="J8" s="80" t="inlineStr">
        <is>
          <t>605</t>
        </is>
      </c>
      <c r="K8" s="19" t="inlineStr">
        <is>
          <t>-</t>
        </is>
      </c>
      <c r="L8" s="72" t="inlineStr">
        <is>
          <t>2026-09-11</t>
        </is>
      </c>
    </row>
    <row r="9" ht="36" customHeight="1">
      <c r="A9" s="19" t="inlineStr">
        <is>
          <t>facebook/dinov2-small</t>
        </is>
      </c>
      <c r="B9" s="19" t="inlineStr">
        <is>
          <t>ed25f3a31f01</t>
        </is>
      </c>
      <c r="C9" s="19" t="inlineStr">
        <is>
          <t>identity consistency + diversity embeddings</t>
        </is>
      </c>
      <c r="D9" s="19" t="inlineStr">
        <is>
          <t>https://huggingface.co/facebook/dinov2-small</t>
        </is>
      </c>
      <c r="E9" s="19" t="inlineStr">
        <is>
          <t>Apache-2.0</t>
        </is>
      </c>
      <c r="F9" s="19" t="inlineStr">
        <is>
          <t>Apache-2.0</t>
        </is>
      </c>
      <c r="G9" s="19" t="inlineStr">
        <is>
          <t>Permitted</t>
        </is>
      </c>
      <c r="H9" s="19" t="inlineStr">
        <is>
          <t>local CPU</t>
        </is>
      </c>
      <c r="I9" s="19" t="inlineStr">
        <is>
          <t>Evaluation only</t>
        </is>
      </c>
      <c r="J9" s="80" t="inlineStr">
        <is>
          <t>88</t>
        </is>
      </c>
      <c r="K9" s="19" t="inlineStr">
        <is>
          <t>-</t>
        </is>
      </c>
      <c r="L9" s="72" t="inlineStr">
        <is>
          <t>2026-09-11</t>
        </is>
      </c>
    </row>
    <row r="10" ht="36" customHeight="1">
      <c r="A10" s="19" t="inlineStr">
        <is>
          <t>diffusers</t>
        </is>
      </c>
      <c r="B10" s="19" t="inlineStr">
        <is>
          <t>0.35.1</t>
        </is>
      </c>
      <c r="C10" s="19" t="inlineStr">
        <is>
          <t>pipeline loading/scheduling</t>
        </is>
      </c>
      <c r="D10" s="19" t="inlineStr">
        <is>
          <t>https://pypi.org/project/diffusers/</t>
        </is>
      </c>
      <c r="E10" s="19" t="inlineStr">
        <is>
          <t>Apache-2.0</t>
        </is>
      </c>
      <c r="F10" s="19" t="inlineStr">
        <is>
          <t>n/a</t>
        </is>
      </c>
      <c r="G10" s="19" t="inlineStr">
        <is>
          <t>Permitted</t>
        </is>
      </c>
      <c r="H10" s="19" t="inlineStr">
        <is>
          <t>local</t>
        </is>
      </c>
      <c r="I10" s="19" t="inlineStr">
        <is>
          <t>Yes</t>
        </is>
      </c>
      <c r="J10" s="80" t="inlineStr"/>
      <c r="K10" s="19" t="inlineStr">
        <is>
          <t>-</t>
        </is>
      </c>
      <c r="L10" s="72" t="inlineStr">
        <is>
          <t>2026-09-11</t>
        </is>
      </c>
    </row>
    <row r="11" ht="36" customHeight="1">
      <c r="A11" s="19" t="inlineStr">
        <is>
          <t>torch</t>
        </is>
      </c>
      <c r="B11" s="19" t="inlineStr">
        <is>
          <t>2.8.0</t>
        </is>
      </c>
      <c r="C11" s="19" t="inlineStr">
        <is>
          <t>tensor runtime, MPS backend</t>
        </is>
      </c>
      <c r="D11" s="19" t="inlineStr">
        <is>
          <t>https://pypi.org/project/torch/</t>
        </is>
      </c>
      <c r="E11" s="19" t="inlineStr">
        <is>
          <t>BSD-3-Clause</t>
        </is>
      </c>
      <c r="F11" s="19" t="inlineStr">
        <is>
          <t>n/a</t>
        </is>
      </c>
      <c r="G11" s="19" t="inlineStr">
        <is>
          <t>Permitted</t>
        </is>
      </c>
      <c r="H11" s="19" t="inlineStr">
        <is>
          <t>local</t>
        </is>
      </c>
      <c r="I11" s="19" t="inlineStr">
        <is>
          <t>Yes</t>
        </is>
      </c>
      <c r="J11" s="80" t="inlineStr"/>
      <c r="K11" s="19" t="inlineStr">
        <is>
          <t>-</t>
        </is>
      </c>
      <c r="L11" s="72" t="inlineStr">
        <is>
          <t>2026-09-11</t>
        </is>
      </c>
    </row>
    <row r="12" ht="36" customHeight="1">
      <c r="A12" s="19" t="inlineStr">
        <is>
          <t>transformers</t>
        </is>
      </c>
      <c r="B12" s="19" t="inlineStr">
        <is>
          <t>4.56.1</t>
        </is>
      </c>
      <c r="C12" s="19" t="inlineStr">
        <is>
          <t>CLIP/DINOv2 loading</t>
        </is>
      </c>
      <c r="D12" s="19" t="inlineStr">
        <is>
          <t>https://pypi.org/project/transformers/</t>
        </is>
      </c>
      <c r="E12" s="19" t="inlineStr">
        <is>
          <t>Apache-2.0</t>
        </is>
      </c>
      <c r="F12" s="19" t="inlineStr">
        <is>
          <t>n/a</t>
        </is>
      </c>
      <c r="G12" s="19" t="inlineStr">
        <is>
          <t>Permitted</t>
        </is>
      </c>
      <c r="H12" s="19" t="inlineStr">
        <is>
          <t>local</t>
        </is>
      </c>
      <c r="I12" s="19" t="inlineStr">
        <is>
          <t>Yes</t>
        </is>
      </c>
      <c r="J12" s="80" t="inlineStr"/>
      <c r="K12" s="19" t="inlineStr">
        <is>
          <t>-</t>
        </is>
      </c>
      <c r="L12" s="72" t="inlineStr">
        <is>
          <t>2026-09-11</t>
        </is>
      </c>
    </row>
    <row r="13" ht="36" customHeight="1">
      <c r="A13" s="19" t="inlineStr">
        <is>
          <t>peft</t>
        </is>
      </c>
      <c r="B13" s="19" t="inlineStr">
        <is>
          <t>0.17.1</t>
        </is>
      </c>
      <c r="C13" s="19" t="inlineStr">
        <is>
          <t>LCM-LoRA fusion</t>
        </is>
      </c>
      <c r="D13" s="19" t="inlineStr">
        <is>
          <t>https://pypi.org/project/peft/</t>
        </is>
      </c>
      <c r="E13" s="19" t="inlineStr">
        <is>
          <t>Apache-2.0</t>
        </is>
      </c>
      <c r="F13" s="19" t="inlineStr">
        <is>
          <t>n/a</t>
        </is>
      </c>
      <c r="G13" s="19" t="inlineStr">
        <is>
          <t>Permitted</t>
        </is>
      </c>
      <c r="H13" s="19" t="inlineStr">
        <is>
          <t>local</t>
        </is>
      </c>
      <c r="I13" s="19" t="inlineStr">
        <is>
          <t>Yes</t>
        </is>
      </c>
      <c r="J13" s="80" t="inlineStr"/>
      <c r="K13" s="19" t="inlineStr">
        <is>
          <t>-</t>
        </is>
      </c>
      <c r="L13" s="72" t="inlineStr">
        <is>
          <t>2026-09-11</t>
        </is>
      </c>
    </row>
    <row r="14" ht="36" customHeight="1">
      <c r="A14" s="19" t="inlineStr">
        <is>
          <t>pydantic</t>
        </is>
      </c>
      <c r="B14" s="19" t="inlineStr">
        <is>
          <t>2.11.7</t>
        </is>
      </c>
      <c r="C14" s="19" t="inlineStr">
        <is>
          <t>spec schema/validation</t>
        </is>
      </c>
      <c r="D14" s="19" t="inlineStr">
        <is>
          <t>https://pypi.org/project/pydantic/</t>
        </is>
      </c>
      <c r="E14" s="19" t="inlineStr">
        <is>
          <t>MIT</t>
        </is>
      </c>
      <c r="F14" s="19" t="inlineStr">
        <is>
          <t>n/a</t>
        </is>
      </c>
      <c r="G14" s="19" t="inlineStr">
        <is>
          <t>Permitted</t>
        </is>
      </c>
      <c r="H14" s="19" t="inlineStr">
        <is>
          <t>local</t>
        </is>
      </c>
      <c r="I14" s="19" t="inlineStr">
        <is>
          <t>Yes</t>
        </is>
      </c>
      <c r="J14" s="80" t="inlineStr"/>
      <c r="K14" s="19" t="inlineStr">
        <is>
          <t>-</t>
        </is>
      </c>
      <c r="L14" s="72" t="inlineStr">
        <is>
          <t>2026-09-11</t>
        </is>
      </c>
    </row>
    <row r="15" ht="36" customHeight="1">
      <c r="A15" s="19" t="inlineStr">
        <is>
          <t>pillow</t>
        </is>
      </c>
      <c r="B15" s="19" t="inlineStr">
        <is>
          <t>11.3.0</t>
        </is>
      </c>
      <c r="C15" s="19" t="inlineStr">
        <is>
          <t>image I/O + corruption checks</t>
        </is>
      </c>
      <c r="D15" s="19" t="inlineStr">
        <is>
          <t>https://pypi.org/project/pillow/</t>
        </is>
      </c>
      <c r="E15" s="19" t="inlineStr">
        <is>
          <t>MIT-CMU</t>
        </is>
      </c>
      <c r="F15" s="19" t="inlineStr">
        <is>
          <t>n/a</t>
        </is>
      </c>
      <c r="G15" s="19" t="inlineStr">
        <is>
          <t>Permitted</t>
        </is>
      </c>
      <c r="H15" s="19" t="inlineStr">
        <is>
          <t>local</t>
        </is>
      </c>
      <c r="I15" s="19" t="inlineStr">
        <is>
          <t>Yes</t>
        </is>
      </c>
      <c r="J15" s="80" t="inlineStr"/>
      <c r="K15" s="19" t="inlineStr">
        <is>
          <t>-</t>
        </is>
      </c>
      <c r="L15" s="72" t="inlineStr">
        <is>
          <t>2026-09-11</t>
        </is>
      </c>
    </row>
    <row r="16" ht="36" customHeight="1">
      <c r="A16" s="19" t="inlineStr">
        <is>
          <t>typer</t>
        </is>
      </c>
      <c r="B16" s="19" t="inlineStr">
        <is>
          <t>0.16.1</t>
        </is>
      </c>
      <c r="C16" s="19" t="inlineStr">
        <is>
          <t>CLI</t>
        </is>
      </c>
      <c r="D16" s="19" t="inlineStr">
        <is>
          <t>https://pypi.org/project/typer/</t>
        </is>
      </c>
      <c r="E16" s="19" t="inlineStr">
        <is>
          <t>MIT</t>
        </is>
      </c>
      <c r="F16" s="19" t="inlineStr">
        <is>
          <t>n/a</t>
        </is>
      </c>
      <c r="G16" s="19" t="inlineStr">
        <is>
          <t>Permitted</t>
        </is>
      </c>
      <c r="H16" s="19" t="inlineStr">
        <is>
          <t>local</t>
        </is>
      </c>
      <c r="I16" s="19" t="inlineStr">
        <is>
          <t>Yes</t>
        </is>
      </c>
      <c r="J16" s="80" t="inlineStr"/>
      <c r="K16" s="19" t="inlineStr">
        <is>
          <t>-</t>
        </is>
      </c>
      <c r="L16" s="72" t="inlineStr">
        <is>
          <t>2026-09-11</t>
        </is>
      </c>
    </row>
    <row r="17" ht="36" customHeight="1">
      <c r="A17" s="19" t="inlineStr">
        <is>
          <t>psutil</t>
        </is>
      </c>
      <c r="B17" s="19" t="inlineStr">
        <is>
          <t>7.0.0</t>
        </is>
      </c>
      <c r="C17" s="19" t="inlineStr">
        <is>
          <t>RAM/CPU reporting</t>
        </is>
      </c>
      <c r="D17" s="19" t="inlineStr">
        <is>
          <t>https://pypi.org/project/psutil/</t>
        </is>
      </c>
      <c r="E17" s="19" t="inlineStr">
        <is>
          <t>BSD-3-Clause</t>
        </is>
      </c>
      <c r="F17" s="19" t="inlineStr">
        <is>
          <t>n/a</t>
        </is>
      </c>
      <c r="G17" s="19" t="inlineStr">
        <is>
          <t>Permitted</t>
        </is>
      </c>
      <c r="H17" s="19" t="inlineStr">
        <is>
          <t>local</t>
        </is>
      </c>
      <c r="I17" s="19" t="inlineStr">
        <is>
          <t>Yes</t>
        </is>
      </c>
      <c r="J17" s="80" t="inlineStr"/>
      <c r="K17" s="19" t="inlineStr">
        <is>
          <t>-</t>
        </is>
      </c>
      <c r="L17" s="72" t="inlineStr">
        <is>
          <t>2026-09-11</t>
        </is>
      </c>
    </row>
    <row r="18" ht="36" customHeight="1">
      <c r="A18" s="19" t="inlineStr">
        <is>
          <t>Kaggle Notebooks (free GPU tier)</t>
        </is>
      </c>
      <c r="B18" s="19" t="inlineStr">
        <is>
          <t>n/a</t>
        </is>
      </c>
      <c r="C18" s="19" t="inlineStr">
        <is>
          <t>hosted execution environment only</t>
        </is>
      </c>
      <c r="D18" s="19" t="inlineStr">
        <is>
          <t>https://www.kaggle.com/docs/notebooks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Free tier; execution environment, not product architecture</t>
        </is>
      </c>
      <c r="H18" s="19" t="inlineStr">
        <is>
          <t>hosted</t>
        </is>
      </c>
      <c r="I18" s="19" t="inlineStr">
        <is>
          <t>No - execution only</t>
        </is>
      </c>
      <c r="J18" s="80" t="inlineStr"/>
      <c r="K18" s="19" t="inlineStr">
        <is>
          <t>Single account; no payment; no personal data</t>
        </is>
      </c>
      <c r="L18" s="72" t="inlineStr">
        <is>
          <t>2026-09-11</t>
        </is>
      </c>
    </row>
    <row r="19" ht="36" customHeight="1">
      <c r="A19" s="19" t="inlineStr">
        <is>
          <t>Monk Skin Tone Scale</t>
        </is>
      </c>
      <c r="B19" s="19" t="inlineStr">
        <is>
          <t>n/a</t>
        </is>
      </c>
      <c r="C19" s="19" t="inlineStr">
        <is>
          <t>neutral skin-tone vocabulary (mst-1..10)</t>
        </is>
      </c>
      <c r="D19" s="19" t="inlineStr">
        <is>
          <t>https://skintone.google</t>
        </is>
      </c>
      <c r="E19" s="19" t="inlineStr">
        <is>
          <t>n/a</t>
        </is>
      </c>
      <c r="F19" s="19" t="inlineStr">
        <is>
          <t>openly published research scale</t>
        </is>
      </c>
      <c r="G19" s="19" t="inlineStr">
        <is>
          <t>Permitted</t>
        </is>
      </c>
      <c r="H19" s="19" t="inlineStr">
        <is>
          <t>local</t>
        </is>
      </c>
      <c r="I19" s="19" t="inlineStr">
        <is>
          <t>Yes</t>
        </is>
      </c>
      <c r="J19" s="80" t="inlineStr"/>
      <c r="K19" s="19" t="inlineStr">
        <is>
          <t>Used as an id vocabulary only; no ethnic labelling</t>
        </is>
      </c>
      <c r="L19" s="72" t="inlineStr">
        <is>
          <t>2026-09-11</t>
        </is>
      </c>
    </row>
    <row r="20" ht="36" customHeight="1">
      <c r="A20" s="19" t="str"/>
      <c r="B20" s="19" t="str"/>
      <c r="C20" s="19" t="str"/>
      <c r="D20" s="19" t="str"/>
      <c r="E20" s="19" t="str"/>
      <c r="F20" s="19" t="str"/>
      <c r="G20" s="19" t="str"/>
      <c r="H20" s="19" t="str"/>
      <c r="I20" s="19" t="str"/>
      <c r="J20" s="80" t="str"/>
      <c r="K20" s="19" t="str"/>
      <c r="L20" s="72" t="str"/>
    </row>
    <row r="21" ht="36" customHeight="1">
      <c r="A21" s="19" t="str"/>
      <c r="B21" s="19" t="str"/>
      <c r="C21" s="19" t="str"/>
      <c r="D21" s="19" t="str"/>
      <c r="E21" s="19" t="str"/>
      <c r="F21" s="19" t="str"/>
      <c r="G21" s="19" t="str"/>
      <c r="H21" s="19" t="str"/>
      <c r="I21" s="19" t="str"/>
      <c r="J21" s="80" t="str"/>
      <c r="K21" s="19" t="str"/>
      <c r="L21" s="72" t="str"/>
    </row>
    <row r="22" ht="36" customHeight="1">
      <c r="A22" s="19" t="str"/>
      <c r="B22" s="19" t="str"/>
      <c r="C22" s="19" t="str"/>
      <c r="D22" s="19" t="str"/>
      <c r="E22" s="19" t="str"/>
      <c r="F22" s="19" t="str"/>
      <c r="G22" s="19" t="str"/>
      <c r="H22" s="19" t="str"/>
      <c r="I22" s="19" t="str"/>
      <c r="J22" s="80" t="str"/>
      <c r="K22" s="19" t="str"/>
      <c r="L22" s="72" t="str"/>
    </row>
    <row r="23" ht="36" customHeight="1">
      <c r="A23" s="19" t="str"/>
      <c r="B23" s="19" t="str"/>
      <c r="C23" s="19" t="str"/>
      <c r="D23" s="19" t="str"/>
      <c r="E23" s="19" t="str"/>
      <c r="F23" s="19" t="str"/>
      <c r="G23" s="19" t="str"/>
      <c r="H23" s="19" t="str"/>
      <c r="I23" s="19" t="str"/>
      <c r="J23" s="80" t="str"/>
      <c r="K23" s="19" t="str"/>
      <c r="L23" s="72" t="str"/>
    </row>
    <row r="24" ht="36" customHeight="1">
      <c r="A24" s="19" t="str"/>
      <c r="B24" s="19" t="str"/>
      <c r="C24" s="19" t="str"/>
      <c r="D24" s="19" t="str"/>
      <c r="E24" s="19" t="str"/>
      <c r="F24" s="19" t="str"/>
      <c r="G24" s="19" t="str"/>
      <c r="H24" s="19" t="str"/>
      <c r="I24" s="19" t="str"/>
      <c r="J24" s="80" t="str"/>
      <c r="K24" s="19" t="str"/>
      <c r="L24" s="72" t="str"/>
    </row>
    <row r="26">
      <c r="A26" s="19" t="inlineStr">
        <is>
          <t>Product recommendation: ship sd15 + sd15_lcm (CreativeML OpenRAIL-M / openrail++, commercial use permitted subject to use restrictions that safety.py enforces in code). sdturbo is Stability AI Non-Commercial and must NOT ship - it is present only as the second-model comparison. CLIP (MIT) and DINOv2 (Apache-2.0) are evaluation-only dependencies and are both commercially clean. Unresolved before product use: (1) mirror OpenRAIL Attachment A restrictions into customer terms; (2) jurisdiction-specific opinion on LAION-trained weights; (3) retention schedule to accompany the existing consent-purge deletion control; (4) embed C2PA content credentials in image files rather than only in avatar_manifest.json. Privacy/consent: individual-avatar work requires a live, hash-verified consent record; the registry stores SHA-256 hashes and a pseudonymous label only, never image bytes or a legal name.</t>
        </is>
      </c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4" t="n"/>
    </row>
    <row r="27">
      <c r="A27" s="78" t="n"/>
      <c r="L27" s="79" t="n"/>
    </row>
    <row r="28">
      <c r="A28" s="78" t="n"/>
      <c r="L28" s="79" t="n"/>
    </row>
    <row r="29">
      <c r="A29" s="75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7" t="n"/>
    </row>
  </sheetData>
  <mergeCells count="3">
    <mergeCell ref="A2:L2"/>
    <mergeCell ref="A1:L1"/>
    <mergeCell ref="A26:L29"/>
  </mergeCells>
  <dataValidations count="3">
    <dataValidation sqref="G5:G24" showDropDown="0" showInputMessage="0" showErrorMessage="0" allowBlank="0" type="list">
      <formula1>"Yes,No,Unclear"</formula1>
    </dataValidation>
    <dataValidation sqref="H5:H24" showDropDown="0" showInputMessage="0" showErrorMessage="0" allowBlank="0" type="list">
      <formula1>"Local CPU,Approved free compute,Both,Reference only"</formula1>
    </dataValidation>
    <dataValidation sqref="I5:I24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8" customWidth="1" min="4" max="4"/>
    <col width="26" customWidth="1" min="5" max="5"/>
    <col width="28" customWidth="1" min="6" max="6"/>
    <col width="21" customWidth="1" min="7" max="7"/>
    <col width="11" customWidth="1" min="8" max="8"/>
    <col width="17" customWidth="1" min="9" max="9"/>
    <col width="12" customWidth="1" min="10" max="10"/>
    <col width="17" customWidth="1" min="11" max="11"/>
    <col width="12" customWidth="1" min="12" max="12"/>
    <col width="13" customWidth="1" min="13" max="13"/>
    <col width="14" customWidth="1" min="14" max="14"/>
    <col width="15" customWidth="1" min="15" max="15"/>
    <col width="28" customWidth="1" min="16" max="16"/>
    <col width="30" customWidth="1" min="17" max="17"/>
  </cols>
  <sheetData>
    <row r="1" ht="34" customHeight="1">
      <c r="A1" s="3" t="inlineStr">
        <is>
          <t>Track 02 | Test Evidence and Benchmark Log</t>
        </is>
      </c>
    </row>
    <row r="2" ht="28" customHeight="1">
      <c r="A2" s="7" t="inlineStr">
        <is>
          <t>One row per attempted test; retain failures and link every claim to output or logs</t>
        </is>
      </c>
    </row>
    <row r="4">
      <c r="A4" s="52" t="inlineStr">
        <is>
          <t>Primary metrics: job success rate, time per image, peak accelerator memory if available, local RAM, prompt/spec adherence, diversity/coverage, identity consistency. Record actual machine/compute route and every attempted output.</t>
        </is>
      </c>
      <c r="B4" s="70" t="n"/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1" t="n"/>
    </row>
    <row r="6">
      <c r="A6" s="37" t="inlineStr">
        <is>
          <t>Test ID</t>
        </is>
      </c>
      <c r="B6" s="37" t="inlineStr">
        <is>
          <t>Level</t>
        </is>
      </c>
      <c r="C6" s="37" t="inlineStr">
        <is>
          <t>Input / path</t>
        </is>
      </c>
      <c r="D6" s="37" t="inlineStr">
        <is>
          <t>Expected behaviour</t>
        </is>
      </c>
      <c r="E6" s="37" t="inlineStr">
        <is>
          <t>Output / path</t>
        </is>
      </c>
      <c r="F6" s="37" t="inlineStr">
        <is>
          <t>Approach / config</t>
        </is>
      </c>
      <c r="G6" s="37" t="inlineStr">
        <is>
          <t>Compute route</t>
        </is>
      </c>
      <c r="H6" s="37" t="inlineStr">
        <is>
          <t>Pass?</t>
        </is>
      </c>
      <c r="I6" s="37" t="inlineStr">
        <is>
          <t>Metric 1</t>
        </is>
      </c>
      <c r="J6" s="37" t="inlineStr">
        <is>
          <t>Value 1</t>
        </is>
      </c>
      <c r="K6" s="37" t="inlineStr">
        <is>
          <t>Metric 2</t>
        </is>
      </c>
      <c r="L6" s="37" t="inlineStr">
        <is>
          <t>Value 2</t>
        </is>
      </c>
      <c r="M6" s="37" t="inlineStr">
        <is>
          <t>Runtime sec</t>
        </is>
      </c>
      <c r="N6" s="37" t="inlineStr">
        <is>
          <t>Peak RAM MB</t>
        </is>
      </c>
      <c r="O6" s="37" t="inlineStr">
        <is>
          <t>Model / asset size MB</t>
        </is>
      </c>
      <c r="P6" s="37" t="inlineStr">
        <is>
          <t>Evidence / log</t>
        </is>
      </c>
      <c r="Q6" s="37" t="inlineStr">
        <is>
          <t>Notes / failure analysis</t>
        </is>
      </c>
    </row>
    <row r="7" ht="42" customHeight="1">
      <c r="A7" s="19" t="inlineStr">
        <is>
          <t>a1_studio_portrait__sd15__s1001</t>
        </is>
      </c>
      <c r="B7" s="19" t="inlineStr">
        <is>
          <t>Baseline</t>
        </is>
      </c>
      <c r="C7" s="19" t="inlineStr">
        <is>
          <t>evidence/batch_a_local/specs/</t>
        </is>
      </c>
      <c r="D7" s="19" t="inlineStr">
        <is>
          <t>Valid PNG at requested size with complete provenance</t>
        </is>
      </c>
      <c r="E7" s="19" t="inlineStr">
        <is>
          <t>evidence/batch_a_local/images/</t>
        </is>
      </c>
      <c r="F7" s="19" t="inlineStr">
        <is>
          <t>sd15 dtype=float16</t>
        </is>
      </c>
      <c r="G7" s="19" t="inlineStr">
        <is>
          <t>local/mps</t>
        </is>
      </c>
      <c r="H7" s="19" t="inlineStr">
        <is>
          <t>Pass</t>
        </is>
      </c>
      <c r="I7" s="19" t="inlineStr">
        <is>
          <t>CLIPScore</t>
        </is>
      </c>
      <c r="J7" s="81" t="n">
        <v>21.585</v>
      </c>
      <c r="K7" s="19" t="inlineStr">
        <is>
          <t>attribute_accuracy</t>
        </is>
      </c>
      <c r="L7" s="81" t="n">
        <v>0.6667</v>
      </c>
      <c r="M7" s="80" t="n">
        <v>36.097</v>
      </c>
      <c r="N7" s="80" t="n">
        <v>2099.1</v>
      </c>
      <c r="O7" s="80" t="n">
        <v>4265.1</v>
      </c>
      <c r="P7" s="19" t="inlineStr">
        <is>
          <t>evidence/batch_a_local/validation.json</t>
        </is>
      </c>
      <c r="Q7" s="19" t="inlineStr">
        <is>
          <t>stddev=59.799</t>
        </is>
      </c>
    </row>
    <row r="8" ht="42" customHeight="1">
      <c r="A8" s="19" t="inlineStr">
        <is>
          <t>a2_studio_portrait__sd15__s1002</t>
        </is>
      </c>
      <c r="B8" s="19" t="inlineStr">
        <is>
          <t>Baseline</t>
        </is>
      </c>
      <c r="C8" s="19" t="inlineStr">
        <is>
          <t>evidence/batch_a_local/specs/</t>
        </is>
      </c>
      <c r="D8" s="19" t="inlineStr">
        <is>
          <t>Valid PNG at requested size with complete provenance</t>
        </is>
      </c>
      <c r="E8" s="19" t="inlineStr">
        <is>
          <t>evidence/batch_a_local/images/</t>
        </is>
      </c>
      <c r="F8" s="19" t="inlineStr">
        <is>
          <t>sd15 dtype=float16</t>
        </is>
      </c>
      <c r="G8" s="19" t="inlineStr">
        <is>
          <t>local/mps</t>
        </is>
      </c>
      <c r="H8" s="19" t="inlineStr">
        <is>
          <t>Pass</t>
        </is>
      </c>
      <c r="I8" s="19" t="inlineStr">
        <is>
          <t>CLIPScore</t>
        </is>
      </c>
      <c r="J8" s="81" t="n">
        <v>29.69</v>
      </c>
      <c r="K8" s="19" t="inlineStr">
        <is>
          <t>attribute_accuracy</t>
        </is>
      </c>
      <c r="L8" s="81" t="n">
        <v>0.75</v>
      </c>
      <c r="M8" s="80" t="n">
        <v>28.036</v>
      </c>
      <c r="N8" s="80" t="n">
        <v>2099.1</v>
      </c>
      <c r="O8" s="80" t="n">
        <v>4265.1</v>
      </c>
      <c r="P8" s="19" t="inlineStr">
        <is>
          <t>evidence/batch_a_local/validation.json</t>
        </is>
      </c>
      <c r="Q8" s="19" t="inlineStr">
        <is>
          <t>stddev=76.388</t>
        </is>
      </c>
    </row>
    <row r="9" ht="42" customHeight="1">
      <c r="A9" s="19" t="inlineStr">
        <is>
          <t>a3_studio_portrait__sd15__s1003</t>
        </is>
      </c>
      <c r="B9" s="19" t="inlineStr">
        <is>
          <t>Baseline</t>
        </is>
      </c>
      <c r="C9" s="19" t="inlineStr">
        <is>
          <t>evidence/batch_a_local/specs/</t>
        </is>
      </c>
      <c r="D9" s="19" t="inlineStr">
        <is>
          <t>Valid PNG at requested size with complete provenance</t>
        </is>
      </c>
      <c r="E9" s="19" t="inlineStr">
        <is>
          <t>evidence/batch_a_local/images/</t>
        </is>
      </c>
      <c r="F9" s="19" t="inlineStr">
        <is>
          <t>sd15 dtype=float16</t>
        </is>
      </c>
      <c r="G9" s="19" t="inlineStr">
        <is>
          <t>local/mps</t>
        </is>
      </c>
      <c r="H9" s="19" t="inlineStr">
        <is>
          <t>Pass</t>
        </is>
      </c>
      <c r="I9" s="19" t="inlineStr">
        <is>
          <t>CLIPScore</t>
        </is>
      </c>
      <c r="J9" s="81" t="n">
        <v>31.849</v>
      </c>
      <c r="K9" s="19" t="inlineStr">
        <is>
          <t>attribute_accuracy</t>
        </is>
      </c>
      <c r="L9" s="81" t="n">
        <v>0.75</v>
      </c>
      <c r="M9" s="80" t="n">
        <v>18.587</v>
      </c>
      <c r="N9" s="80" t="n">
        <v>2099.1</v>
      </c>
      <c r="O9" s="80" t="n">
        <v>4265.1</v>
      </c>
      <c r="P9" s="19" t="inlineStr">
        <is>
          <t>evidence/batch_a_local/validation.json</t>
        </is>
      </c>
      <c r="Q9" s="19" t="inlineStr">
        <is>
          <t>stddev=63.734</t>
        </is>
      </c>
    </row>
    <row r="10" ht="42" customHeight="1">
      <c r="A10" s="19" t="inlineStr">
        <is>
          <t>a4_studio_portrait__sd15__s1004</t>
        </is>
      </c>
      <c r="B10" s="19" t="inlineStr">
        <is>
          <t>Baseline</t>
        </is>
      </c>
      <c r="C10" s="19" t="inlineStr">
        <is>
          <t>evidence/batch_a_local/specs/</t>
        </is>
      </c>
      <c r="D10" s="19" t="inlineStr">
        <is>
          <t>Valid PNG at requested size with complete provenance</t>
        </is>
      </c>
      <c r="E10" s="19" t="inlineStr">
        <is>
          <t>evidence/batch_a_local/images/</t>
        </is>
      </c>
      <c r="F10" s="19" t="inlineStr">
        <is>
          <t>sd15 dtype=float16</t>
        </is>
      </c>
      <c r="G10" s="19" t="inlineStr">
        <is>
          <t>local/mps</t>
        </is>
      </c>
      <c r="H10" s="19" t="inlineStr">
        <is>
          <t>Pass</t>
        </is>
      </c>
      <c r="I10" s="19" t="inlineStr">
        <is>
          <t>CLIPScore</t>
        </is>
      </c>
      <c r="J10" s="81" t="n">
        <v>30.634</v>
      </c>
      <c r="K10" s="19" t="inlineStr">
        <is>
          <t>attribute_accuracy</t>
        </is>
      </c>
      <c r="L10" s="81" t="n">
        <v>0.6667</v>
      </c>
      <c r="M10" s="80" t="n">
        <v>18.799</v>
      </c>
      <c r="N10" s="80" t="n">
        <v>2099.1</v>
      </c>
      <c r="O10" s="80" t="n">
        <v>4265.1</v>
      </c>
      <c r="P10" s="19" t="inlineStr">
        <is>
          <t>evidence/batch_a_local/validation.json</t>
        </is>
      </c>
      <c r="Q10" s="19" t="inlineStr">
        <is>
          <t>stddev=67.046</t>
        </is>
      </c>
    </row>
    <row r="11" ht="42" customHeight="1">
      <c r="A11" s="19" t="inlineStr">
        <is>
          <t>a5_studio_portrait__sd15__s1005</t>
        </is>
      </c>
      <c r="B11" s="19" t="inlineStr">
        <is>
          <t>Baseline</t>
        </is>
      </c>
      <c r="C11" s="19" t="inlineStr">
        <is>
          <t>evidence/batch_a_local/specs/</t>
        </is>
      </c>
      <c r="D11" s="19" t="inlineStr">
        <is>
          <t>Valid PNG at requested size with complete provenance</t>
        </is>
      </c>
      <c r="E11" s="19" t="inlineStr">
        <is>
          <t>evidence/batch_a_local/images/</t>
        </is>
      </c>
      <c r="F11" s="19" t="inlineStr">
        <is>
          <t>sd15 dtype=float16</t>
        </is>
      </c>
      <c r="G11" s="19" t="inlineStr">
        <is>
          <t>local/mps</t>
        </is>
      </c>
      <c r="H11" s="19" t="inlineStr">
        <is>
          <t>Pass</t>
        </is>
      </c>
      <c r="I11" s="19" t="inlineStr">
        <is>
          <t>CLIPScore</t>
        </is>
      </c>
      <c r="J11" s="81" t="n">
        <v>29.941</v>
      </c>
      <c r="K11" s="19" t="inlineStr">
        <is>
          <t>attribute_accuracy</t>
        </is>
      </c>
      <c r="L11" s="81" t="n">
        <v>0.5</v>
      </c>
      <c r="M11" s="80" t="n">
        <v>18.982</v>
      </c>
      <c r="N11" s="80" t="n">
        <v>2099.1</v>
      </c>
      <c r="O11" s="80" t="n">
        <v>4265.1</v>
      </c>
      <c r="P11" s="19" t="inlineStr">
        <is>
          <t>evidence/batch_a_local/validation.json</t>
        </is>
      </c>
      <c r="Q11" s="19" t="inlineStr">
        <is>
          <t>stddev=65.348</t>
        </is>
      </c>
    </row>
    <row r="12" ht="42" customHeight="1">
      <c r="A12" s="19" t="inlineStr">
        <is>
          <t>a6_studio_portrait__sd15__s1006</t>
        </is>
      </c>
      <c r="B12" s="19" t="inlineStr">
        <is>
          <t>Baseline</t>
        </is>
      </c>
      <c r="C12" s="19" t="inlineStr">
        <is>
          <t>evidence/batch_a_local/specs/</t>
        </is>
      </c>
      <c r="D12" s="19" t="inlineStr">
        <is>
          <t>Valid PNG at requested size with complete provenance</t>
        </is>
      </c>
      <c r="E12" s="19" t="inlineStr">
        <is>
          <t>evidence/batch_a_local/images/</t>
        </is>
      </c>
      <c r="F12" s="19" t="inlineStr">
        <is>
          <t>sd15 dtype=float16</t>
        </is>
      </c>
      <c r="G12" s="19" t="inlineStr">
        <is>
          <t>local/mps</t>
        </is>
      </c>
      <c r="H12" s="19" t="inlineStr">
        <is>
          <t>Pass</t>
        </is>
      </c>
      <c r="I12" s="19" t="inlineStr">
        <is>
          <t>CLIPScore</t>
        </is>
      </c>
      <c r="J12" s="81" t="n">
        <v>29.306</v>
      </c>
      <c r="K12" s="19" t="inlineStr">
        <is>
          <t>attribute_accuracy</t>
        </is>
      </c>
      <c r="L12" s="81" t="n">
        <v>0.5</v>
      </c>
      <c r="M12" s="80" t="n">
        <v>18.712</v>
      </c>
      <c r="N12" s="80" t="n">
        <v>2099.1</v>
      </c>
      <c r="O12" s="80" t="n">
        <v>4265.1</v>
      </c>
      <c r="P12" s="19" t="inlineStr">
        <is>
          <t>evidence/batch_a_local/validation.json</t>
        </is>
      </c>
      <c r="Q12" s="19" t="inlineStr">
        <is>
          <t>stddev=72.168</t>
        </is>
      </c>
    </row>
    <row r="13" ht="42" customHeight="1">
      <c r="A13" s="19" t="inlineStr">
        <is>
          <t>a1_studio_portrait__sd15__s1001</t>
        </is>
      </c>
      <c r="B13" s="19" t="inlineStr">
        <is>
          <t>Baseline</t>
        </is>
      </c>
      <c r="C13" s="19" t="inlineStr">
        <is>
          <t>evidence/batch_a_sd15/specs/</t>
        </is>
      </c>
      <c r="D13" s="19" t="inlineStr">
        <is>
          <t>Valid PNG at requested size with complete provenance</t>
        </is>
      </c>
      <c r="E13" s="19" t="inlineStr">
        <is>
          <t>evidence/batch_a_sd15/images/</t>
        </is>
      </c>
      <c r="F13" s="19" t="inlineStr">
        <is>
          <t>sd15 dtype=float16</t>
        </is>
      </c>
      <c r="G13" s="19" t="inlineStr">
        <is>
          <t>notebook/cuda</t>
        </is>
      </c>
      <c r="H13" s="19" t="inlineStr">
        <is>
          <t>Pass</t>
        </is>
      </c>
      <c r="I13" s="19" t="inlineStr">
        <is>
          <t>CLIPScore</t>
        </is>
      </c>
      <c r="J13" s="81" t="n">
        <v>21.661</v>
      </c>
      <c r="K13" s="19" t="inlineStr">
        <is>
          <t>attribute_accuracy</t>
        </is>
      </c>
      <c r="L13" s="81" t="n">
        <v>0.6667</v>
      </c>
      <c r="M13" s="80" t="n">
        <v>4.273</v>
      </c>
      <c r="N13" s="80" t="str"/>
      <c r="O13" s="80" t="str"/>
      <c r="P13" s="19" t="inlineStr">
        <is>
          <t>evidence/batch_a_sd15/validation.json</t>
        </is>
      </c>
      <c r="Q13" s="19" t="inlineStr">
        <is>
          <t>stddev=59.902</t>
        </is>
      </c>
    </row>
    <row r="14" ht="42" customHeight="1">
      <c r="A14" s="19" t="inlineStr">
        <is>
          <t>a2_studio_portrait__sd15__s1002</t>
        </is>
      </c>
      <c r="B14" s="19" t="inlineStr">
        <is>
          <t>Baseline</t>
        </is>
      </c>
      <c r="C14" s="19" t="inlineStr">
        <is>
          <t>evidence/batch_a_sd15/specs/</t>
        </is>
      </c>
      <c r="D14" s="19" t="inlineStr">
        <is>
          <t>Valid PNG at requested size with complete provenance</t>
        </is>
      </c>
      <c r="E14" s="19" t="inlineStr">
        <is>
          <t>evidence/batch_a_sd15/images/</t>
        </is>
      </c>
      <c r="F14" s="19" t="inlineStr">
        <is>
          <t>sd15 dtype=float16</t>
        </is>
      </c>
      <c r="G14" s="19" t="inlineStr">
        <is>
          <t>notebook/cuda</t>
        </is>
      </c>
      <c r="H14" s="19" t="inlineStr">
        <is>
          <t>Pass</t>
        </is>
      </c>
      <c r="I14" s="19" t="inlineStr">
        <is>
          <t>CLIPScore</t>
        </is>
      </c>
      <c r="J14" s="81" t="n">
        <v>29.63</v>
      </c>
      <c r="K14" s="19" t="inlineStr">
        <is>
          <t>attribute_accuracy</t>
        </is>
      </c>
      <c r="L14" s="81" t="n">
        <v>0.75</v>
      </c>
      <c r="M14" s="80" t="n">
        <v>2.188</v>
      </c>
      <c r="N14" s="80" t="str"/>
      <c r="O14" s="80" t="str"/>
      <c r="P14" s="19" t="inlineStr">
        <is>
          <t>evidence/batch_a_sd15/validation.json</t>
        </is>
      </c>
      <c r="Q14" s="19" t="inlineStr">
        <is>
          <t>stddev=76.398</t>
        </is>
      </c>
    </row>
    <row r="15" ht="42" customHeight="1">
      <c r="A15" s="19" t="inlineStr">
        <is>
          <t>a3_studio_portrait__sd15__s1003</t>
        </is>
      </c>
      <c r="B15" s="19" t="inlineStr">
        <is>
          <t>Baseline</t>
        </is>
      </c>
      <c r="C15" s="19" t="inlineStr">
        <is>
          <t>evidence/batch_a_sd15/specs/</t>
        </is>
      </c>
      <c r="D15" s="19" t="inlineStr">
        <is>
          <t>Valid PNG at requested size with complete provenance</t>
        </is>
      </c>
      <c r="E15" s="19" t="inlineStr">
        <is>
          <t>evidence/batch_a_sd15/images/</t>
        </is>
      </c>
      <c r="F15" s="19" t="inlineStr">
        <is>
          <t>sd15 dtype=float16</t>
        </is>
      </c>
      <c r="G15" s="19" t="inlineStr">
        <is>
          <t>notebook/cuda</t>
        </is>
      </c>
      <c r="H15" s="19" t="inlineStr">
        <is>
          <t>Pass</t>
        </is>
      </c>
      <c r="I15" s="19" t="inlineStr">
        <is>
          <t>CLIPScore</t>
        </is>
      </c>
      <c r="J15" s="81" t="n">
        <v>31.826</v>
      </c>
      <c r="K15" s="19" t="inlineStr">
        <is>
          <t>attribute_accuracy</t>
        </is>
      </c>
      <c r="L15" s="81" t="n">
        <v>0.75</v>
      </c>
      <c r="M15" s="80" t="n">
        <v>2.187</v>
      </c>
      <c r="N15" s="80" t="str"/>
      <c r="O15" s="80" t="str"/>
      <c r="P15" s="19" t="inlineStr">
        <is>
          <t>evidence/batch_a_sd15/validation.json</t>
        </is>
      </c>
      <c r="Q15" s="19" t="inlineStr">
        <is>
          <t>stddev=63.741</t>
        </is>
      </c>
    </row>
    <row r="16" ht="42" customHeight="1">
      <c r="A16" s="19" t="inlineStr">
        <is>
          <t>a4_studio_portrait__sd15__s1004</t>
        </is>
      </c>
      <c r="B16" s="19" t="inlineStr">
        <is>
          <t>Baseline</t>
        </is>
      </c>
      <c r="C16" s="19" t="inlineStr">
        <is>
          <t>evidence/batch_a_sd15/specs/</t>
        </is>
      </c>
      <c r="D16" s="19" t="inlineStr">
        <is>
          <t>Valid PNG at requested size with complete provenance</t>
        </is>
      </c>
      <c r="E16" s="19" t="inlineStr">
        <is>
          <t>evidence/batch_a_sd15/images/</t>
        </is>
      </c>
      <c r="F16" s="19" t="inlineStr">
        <is>
          <t>sd15 dtype=float16</t>
        </is>
      </c>
      <c r="G16" s="19" t="inlineStr">
        <is>
          <t>notebook/cuda</t>
        </is>
      </c>
      <c r="H16" s="19" t="inlineStr">
        <is>
          <t>Pass</t>
        </is>
      </c>
      <c r="I16" s="19" t="inlineStr">
        <is>
          <t>CLIPScore</t>
        </is>
      </c>
      <c r="J16" s="81" t="n">
        <v>30.696</v>
      </c>
      <c r="K16" s="19" t="inlineStr">
        <is>
          <t>attribute_accuracy</t>
        </is>
      </c>
      <c r="L16" s="81" t="n">
        <v>0.6667</v>
      </c>
      <c r="M16" s="80" t="n">
        <v>2.206</v>
      </c>
      <c r="N16" s="80" t="str"/>
      <c r="O16" s="80" t="str"/>
      <c r="P16" s="19" t="inlineStr">
        <is>
          <t>evidence/batch_a_sd15/validation.json</t>
        </is>
      </c>
      <c r="Q16" s="19" t="inlineStr">
        <is>
          <t>stddev=66.956</t>
        </is>
      </c>
    </row>
    <row r="17" ht="42" customHeight="1">
      <c r="A17" s="19" t="inlineStr">
        <is>
          <t>a5_studio_portrait__sd15__s1005</t>
        </is>
      </c>
      <c r="B17" s="19" t="inlineStr">
        <is>
          <t>Baseline</t>
        </is>
      </c>
      <c r="C17" s="19" t="inlineStr">
        <is>
          <t>evidence/batch_a_sd15/specs/</t>
        </is>
      </c>
      <c r="D17" s="19" t="inlineStr">
        <is>
          <t>Valid PNG at requested size with complete provenance</t>
        </is>
      </c>
      <c r="E17" s="19" t="inlineStr">
        <is>
          <t>evidence/batch_a_sd15/images/</t>
        </is>
      </c>
      <c r="F17" s="19" t="inlineStr">
        <is>
          <t>sd15 dtype=float16</t>
        </is>
      </c>
      <c r="G17" s="19" t="inlineStr">
        <is>
          <t>notebook/cuda</t>
        </is>
      </c>
      <c r="H17" s="19" t="inlineStr">
        <is>
          <t>Pass</t>
        </is>
      </c>
      <c r="I17" s="19" t="inlineStr">
        <is>
          <t>CLIPScore</t>
        </is>
      </c>
      <c r="J17" s="81" t="n">
        <v>29.783</v>
      </c>
      <c r="K17" s="19" t="inlineStr">
        <is>
          <t>attribute_accuracy</t>
        </is>
      </c>
      <c r="L17" s="81" t="n">
        <v>0.5</v>
      </c>
      <c r="M17" s="80" t="n">
        <v>2.206</v>
      </c>
      <c r="N17" s="80" t="str"/>
      <c r="O17" s="80" t="str"/>
      <c r="P17" s="19" t="inlineStr">
        <is>
          <t>evidence/batch_a_sd15/validation.json</t>
        </is>
      </c>
      <c r="Q17" s="19" t="inlineStr">
        <is>
          <t>stddev=65.332</t>
        </is>
      </c>
    </row>
    <row r="18" ht="42" customHeight="1">
      <c r="A18" s="19" t="inlineStr">
        <is>
          <t>a6_studio_portrait__sd15__s1006</t>
        </is>
      </c>
      <c r="B18" s="19" t="inlineStr">
        <is>
          <t>Baseline</t>
        </is>
      </c>
      <c r="C18" s="19" t="inlineStr">
        <is>
          <t>evidence/batch_a_sd15/specs/</t>
        </is>
      </c>
      <c r="D18" s="19" t="inlineStr">
        <is>
          <t>Valid PNG at requested size with complete provenance</t>
        </is>
      </c>
      <c r="E18" s="19" t="inlineStr">
        <is>
          <t>evidence/batch_a_sd15/images/</t>
        </is>
      </c>
      <c r="F18" s="19" t="inlineStr">
        <is>
          <t>sd15 dtype=float16</t>
        </is>
      </c>
      <c r="G18" s="19" t="inlineStr">
        <is>
          <t>notebook/cuda</t>
        </is>
      </c>
      <c r="H18" s="19" t="inlineStr">
        <is>
          <t>Pass</t>
        </is>
      </c>
      <c r="I18" s="19" t="inlineStr">
        <is>
          <t>CLIPScore</t>
        </is>
      </c>
      <c r="J18" s="81" t="n">
        <v>29.425</v>
      </c>
      <c r="K18" s="19" t="inlineStr">
        <is>
          <t>attribute_accuracy</t>
        </is>
      </c>
      <c r="L18" s="81" t="n">
        <v>0.5</v>
      </c>
      <c r="M18" s="80" t="n">
        <v>2.227</v>
      </c>
      <c r="N18" s="80" t="str"/>
      <c r="O18" s="80" t="str"/>
      <c r="P18" s="19" t="inlineStr">
        <is>
          <t>evidence/batch_a_sd15/validation.json</t>
        </is>
      </c>
      <c r="Q18" s="19" t="inlineStr">
        <is>
          <t>stddev=72.306</t>
        </is>
      </c>
    </row>
    <row r="19" ht="42" customHeight="1">
      <c r="A19" s="19" t="inlineStr">
        <is>
          <t>a1_studio_portrait__sdturbo__s1001</t>
        </is>
      </c>
      <c r="B19" s="19" t="inlineStr">
        <is>
          <t>Baseline</t>
        </is>
      </c>
      <c r="C19" s="19" t="inlineStr">
        <is>
          <t>evidence/batch_a_sdturbo/specs/</t>
        </is>
      </c>
      <c r="D19" s="19" t="inlineStr">
        <is>
          <t>Valid PNG at requested size with complete provenance</t>
        </is>
      </c>
      <c r="E19" s="19" t="inlineStr">
        <is>
          <t>evidence/batch_a_sdturbo/images/</t>
        </is>
      </c>
      <c r="F19" s="19" t="inlineStr">
        <is>
          <t>sdturbo dtype=float16</t>
        </is>
      </c>
      <c r="G19" s="19" t="inlineStr">
        <is>
          <t>notebook/cuda</t>
        </is>
      </c>
      <c r="H19" s="19" t="inlineStr">
        <is>
          <t>Pass</t>
        </is>
      </c>
      <c r="I19" s="19" t="inlineStr">
        <is>
          <t>CLIPScore</t>
        </is>
      </c>
      <c r="J19" s="81" t="n">
        <v>32.018</v>
      </c>
      <c r="K19" s="19" t="inlineStr">
        <is>
          <t>attribute_accuracy</t>
        </is>
      </c>
      <c r="L19" s="81" t="n">
        <v>0.8333</v>
      </c>
      <c r="M19" s="80" t="n">
        <v>25.194</v>
      </c>
      <c r="N19" s="80" t="str"/>
      <c r="O19" s="80" t="str"/>
      <c r="P19" s="19" t="inlineStr">
        <is>
          <t>evidence/batch_a_sdturbo/validation.json</t>
        </is>
      </c>
      <c r="Q19" s="19" t="inlineStr">
        <is>
          <t>stddev=54.303</t>
        </is>
      </c>
    </row>
    <row r="20" ht="42" customHeight="1">
      <c r="A20" s="19" t="inlineStr">
        <is>
          <t>a2_studio_portrait__sdturbo__s1002</t>
        </is>
      </c>
      <c r="B20" s="19" t="inlineStr">
        <is>
          <t>Baseline</t>
        </is>
      </c>
      <c r="C20" s="19" t="inlineStr">
        <is>
          <t>evidence/batch_a_sdturbo/specs/</t>
        </is>
      </c>
      <c r="D20" s="19" t="inlineStr">
        <is>
          <t>Valid PNG at requested size with complete provenance</t>
        </is>
      </c>
      <c r="E20" s="19" t="inlineStr">
        <is>
          <t>evidence/batch_a_sdturbo/images/</t>
        </is>
      </c>
      <c r="F20" s="19" t="inlineStr">
        <is>
          <t>sdturbo dtype=float16</t>
        </is>
      </c>
      <c r="G20" s="19" t="inlineStr">
        <is>
          <t>notebook/cuda</t>
        </is>
      </c>
      <c r="H20" s="19" t="inlineStr">
        <is>
          <t>Pass</t>
        </is>
      </c>
      <c r="I20" s="19" t="inlineStr">
        <is>
          <t>CLIPScore</t>
        </is>
      </c>
      <c r="J20" s="81" t="n">
        <v>28.866</v>
      </c>
      <c r="K20" s="19" t="inlineStr">
        <is>
          <t>attribute_accuracy</t>
        </is>
      </c>
      <c r="L20" s="81" t="n">
        <v>0.75</v>
      </c>
      <c r="M20" s="80" t="n">
        <v>0.45</v>
      </c>
      <c r="N20" s="80" t="str"/>
      <c r="O20" s="80" t="str"/>
      <c r="P20" s="19" t="inlineStr">
        <is>
          <t>evidence/batch_a_sdturbo/validation.json</t>
        </is>
      </c>
      <c r="Q20" s="19" t="inlineStr">
        <is>
          <t>stddev=55.806</t>
        </is>
      </c>
    </row>
    <row r="21" ht="42" customHeight="1">
      <c r="A21" s="19" t="inlineStr">
        <is>
          <t>a3_studio_portrait__sdturbo__s1003</t>
        </is>
      </c>
      <c r="B21" s="19" t="inlineStr">
        <is>
          <t>Baseline</t>
        </is>
      </c>
      <c r="C21" s="19" t="inlineStr">
        <is>
          <t>evidence/batch_a_sdturbo/specs/</t>
        </is>
      </c>
      <c r="D21" s="19" t="inlineStr">
        <is>
          <t>Valid PNG at requested size with complete provenance</t>
        </is>
      </c>
      <c r="E21" s="19" t="inlineStr">
        <is>
          <t>evidence/batch_a_sdturbo/images/</t>
        </is>
      </c>
      <c r="F21" s="19" t="inlineStr">
        <is>
          <t>sdturbo dtype=float16</t>
        </is>
      </c>
      <c r="G21" s="19" t="inlineStr">
        <is>
          <t>notebook/cuda</t>
        </is>
      </c>
      <c r="H21" s="19" t="inlineStr">
        <is>
          <t>Pass</t>
        </is>
      </c>
      <c r="I21" s="19" t="inlineStr">
        <is>
          <t>CLIPScore</t>
        </is>
      </c>
      <c r="J21" s="81" t="n">
        <v>31.153</v>
      </c>
      <c r="K21" s="19" t="inlineStr">
        <is>
          <t>attribute_accuracy</t>
        </is>
      </c>
      <c r="L21" s="81" t="n">
        <v>0.9167</v>
      </c>
      <c r="M21" s="80" t="n">
        <v>0.438</v>
      </c>
      <c r="N21" s="80" t="str"/>
      <c r="O21" s="80" t="str"/>
      <c r="P21" s="19" t="inlineStr">
        <is>
          <t>evidence/batch_a_sdturbo/validation.json</t>
        </is>
      </c>
      <c r="Q21" s="19" t="inlineStr">
        <is>
          <t>stddev=66.055</t>
        </is>
      </c>
    </row>
    <row r="22" ht="42" customHeight="1">
      <c r="A22" s="19" t="inlineStr">
        <is>
          <t>a4_studio_portrait__sdturbo__s1004</t>
        </is>
      </c>
      <c r="B22" s="19" t="inlineStr">
        <is>
          <t>Baseline</t>
        </is>
      </c>
      <c r="C22" s="19" t="inlineStr">
        <is>
          <t>evidence/batch_a_sdturbo/specs/</t>
        </is>
      </c>
      <c r="D22" s="19" t="inlineStr">
        <is>
          <t>Valid PNG at requested size with complete provenance</t>
        </is>
      </c>
      <c r="E22" s="19" t="inlineStr">
        <is>
          <t>evidence/batch_a_sdturbo/images/</t>
        </is>
      </c>
      <c r="F22" s="19" t="inlineStr">
        <is>
          <t>sdturbo dtype=float16</t>
        </is>
      </c>
      <c r="G22" s="19" t="inlineStr">
        <is>
          <t>notebook/cuda</t>
        </is>
      </c>
      <c r="H22" s="19" t="inlineStr">
        <is>
          <t>Pass</t>
        </is>
      </c>
      <c r="I22" s="19" t="inlineStr">
        <is>
          <t>CLIPScore</t>
        </is>
      </c>
      <c r="J22" s="81" t="n">
        <v>34.878</v>
      </c>
      <c r="K22" s="19" t="inlineStr">
        <is>
          <t>attribute_accuracy</t>
        </is>
      </c>
      <c r="L22" s="81" t="n">
        <v>0.8333</v>
      </c>
      <c r="M22" s="80" t="n">
        <v>0.443</v>
      </c>
      <c r="N22" s="80" t="str"/>
      <c r="O22" s="80" t="str"/>
      <c r="P22" s="19" t="inlineStr">
        <is>
          <t>evidence/batch_a_sdturbo/validation.json</t>
        </is>
      </c>
      <c r="Q22" s="19" t="inlineStr">
        <is>
          <t>stddev=51.497</t>
        </is>
      </c>
    </row>
    <row r="23" ht="42" customHeight="1">
      <c r="A23" s="19" t="inlineStr">
        <is>
          <t>a5_studio_portrait__sdturbo__s1005</t>
        </is>
      </c>
      <c r="B23" s="19" t="inlineStr">
        <is>
          <t>Baseline</t>
        </is>
      </c>
      <c r="C23" s="19" t="inlineStr">
        <is>
          <t>evidence/batch_a_sdturbo/specs/</t>
        </is>
      </c>
      <c r="D23" s="19" t="inlineStr">
        <is>
          <t>Valid PNG at requested size with complete provenance</t>
        </is>
      </c>
      <c r="E23" s="19" t="inlineStr">
        <is>
          <t>evidence/batch_a_sdturbo/images/</t>
        </is>
      </c>
      <c r="F23" s="19" t="inlineStr">
        <is>
          <t>sdturbo dtype=float16</t>
        </is>
      </c>
      <c r="G23" s="19" t="inlineStr">
        <is>
          <t>notebook/cuda</t>
        </is>
      </c>
      <c r="H23" s="19" t="inlineStr">
        <is>
          <t>Pass</t>
        </is>
      </c>
      <c r="I23" s="19" t="inlineStr">
        <is>
          <t>CLIPScore</t>
        </is>
      </c>
      <c r="J23" s="81" t="n">
        <v>29.017</v>
      </c>
      <c r="K23" s="19" t="inlineStr">
        <is>
          <t>attribute_accuracy</t>
        </is>
      </c>
      <c r="L23" s="81" t="n">
        <v>0.75</v>
      </c>
      <c r="M23" s="80" t="n">
        <v>0.435</v>
      </c>
      <c r="N23" s="80" t="str"/>
      <c r="O23" s="80" t="str"/>
      <c r="P23" s="19" t="inlineStr">
        <is>
          <t>evidence/batch_a_sdturbo/validation.json</t>
        </is>
      </c>
      <c r="Q23" s="19" t="inlineStr">
        <is>
          <t>stddev=61.07</t>
        </is>
      </c>
    </row>
    <row r="24" ht="42" customHeight="1">
      <c r="A24" s="19" t="inlineStr">
        <is>
          <t>a6_studio_portrait__sdturbo__s1006</t>
        </is>
      </c>
      <c r="B24" s="19" t="inlineStr">
        <is>
          <t>Baseline</t>
        </is>
      </c>
      <c r="C24" s="19" t="inlineStr">
        <is>
          <t>evidence/batch_a_sdturbo/specs/</t>
        </is>
      </c>
      <c r="D24" s="19" t="inlineStr">
        <is>
          <t>Valid PNG at requested size with complete provenance</t>
        </is>
      </c>
      <c r="E24" s="19" t="inlineStr">
        <is>
          <t>evidence/batch_a_sdturbo/images/</t>
        </is>
      </c>
      <c r="F24" s="19" t="inlineStr">
        <is>
          <t>sdturbo dtype=float16</t>
        </is>
      </c>
      <c r="G24" s="19" t="inlineStr">
        <is>
          <t>notebook/cuda</t>
        </is>
      </c>
      <c r="H24" s="19" t="inlineStr">
        <is>
          <t>Pass</t>
        </is>
      </c>
      <c r="I24" s="19" t="inlineStr">
        <is>
          <t>CLIPScore</t>
        </is>
      </c>
      <c r="J24" s="81" t="n">
        <v>30.937</v>
      </c>
      <c r="K24" s="19" t="inlineStr">
        <is>
          <t>attribute_accuracy</t>
        </is>
      </c>
      <c r="L24" s="81" t="n">
        <v>0.8</v>
      </c>
      <c r="M24" s="80" t="n">
        <v>0.445</v>
      </c>
      <c r="N24" s="80" t="str"/>
      <c r="O24" s="80" t="str"/>
      <c r="P24" s="19" t="inlineStr">
        <is>
          <t>evidence/batch_a_sdturbo/validation.json</t>
        </is>
      </c>
      <c r="Q24" s="19" t="inlineStr">
        <is>
          <t>stddev=56.664</t>
        </is>
      </c>
    </row>
    <row r="25" ht="42" customHeight="1">
      <c r="A25" s="19" t="inlineStr">
        <is>
          <t>b0_base__sd15_lcm__s2001</t>
        </is>
      </c>
      <c r="B25" s="19" t="inlineStr">
        <is>
          <t>Strong</t>
        </is>
      </c>
      <c r="C25" s="19" t="inlineStr">
        <is>
          <t>evidence/batch_b_lcm/specs/</t>
        </is>
      </c>
      <c r="D25" s="19" t="inlineStr">
        <is>
          <t>Valid PNG at requested size with complete provenance</t>
        </is>
      </c>
      <c r="E25" s="19" t="inlineStr">
        <is>
          <t>evidence/batch_b_lcm/images/</t>
        </is>
      </c>
      <c r="F25" s="19" t="inlineStr">
        <is>
          <t>sd15_lcm dtype=float16</t>
        </is>
      </c>
      <c r="G25" s="19" t="inlineStr">
        <is>
          <t>notebook/cuda</t>
        </is>
      </c>
      <c r="H25" s="19" t="inlineStr">
        <is>
          <t>Pass</t>
        </is>
      </c>
      <c r="I25" s="19" t="inlineStr">
        <is>
          <t>CLIPScore</t>
        </is>
      </c>
      <c r="J25" s="81" t="n">
        <v>26.255</v>
      </c>
      <c r="K25" s="19" t="inlineStr">
        <is>
          <t>attribute_accuracy</t>
        </is>
      </c>
      <c r="L25" s="81" t="n">
        <v>0.6667</v>
      </c>
      <c r="M25" s="80" t="n">
        <v>30.83</v>
      </c>
      <c r="N25" s="80" t="str"/>
      <c r="O25" s="80" t="str"/>
      <c r="P25" s="19" t="inlineStr">
        <is>
          <t>evidence/batch_b_lcm/validation.json</t>
        </is>
      </c>
      <c r="Q25" s="19" t="inlineStr">
        <is>
          <t>stddev=75.717</t>
        </is>
      </c>
    </row>
    <row r="26" ht="42" customHeight="1">
      <c r="A26" s="19" t="inlineStr">
        <is>
          <t>b1_var_age_band__sd15_lcm__s2001</t>
        </is>
      </c>
      <c r="B26" s="19" t="inlineStr">
        <is>
          <t>Strong</t>
        </is>
      </c>
      <c r="C26" s="19" t="inlineStr">
        <is>
          <t>evidence/batch_b_lcm/specs/</t>
        </is>
      </c>
      <c r="D26" s="19" t="inlineStr">
        <is>
          <t>Valid PNG at requested size with complete provenance</t>
        </is>
      </c>
      <c r="E26" s="19" t="inlineStr">
        <is>
          <t>evidence/batch_b_lcm/images/</t>
        </is>
      </c>
      <c r="F26" s="19" t="inlineStr">
        <is>
          <t>sd15_lcm dtype=float16</t>
        </is>
      </c>
      <c r="G26" s="19" t="inlineStr">
        <is>
          <t>notebook/cuda</t>
        </is>
      </c>
      <c r="H26" s="19" t="inlineStr">
        <is>
          <t>Pass</t>
        </is>
      </c>
      <c r="I26" s="19" t="inlineStr">
        <is>
          <t>CLIPScore</t>
        </is>
      </c>
      <c r="J26" s="81" t="n">
        <v>24.492</v>
      </c>
      <c r="K26" s="19" t="inlineStr">
        <is>
          <t>attribute_accuracy</t>
        </is>
      </c>
      <c r="L26" s="81" t="n">
        <v>0.5</v>
      </c>
      <c r="M26" s="80" t="n">
        <v>0.747</v>
      </c>
      <c r="N26" s="80" t="str"/>
      <c r="O26" s="80" t="str"/>
      <c r="P26" s="19" t="inlineStr">
        <is>
          <t>evidence/batch_b_lcm/validation.json</t>
        </is>
      </c>
      <c r="Q26" s="19" t="inlineStr">
        <is>
          <t>stddev=68.956</t>
        </is>
      </c>
    </row>
    <row r="27">
      <c r="A27" t="inlineStr">
        <is>
          <t>b2_var_attire__sd15_lcm__s2001</t>
        </is>
      </c>
      <c r="B27" t="inlineStr">
        <is>
          <t>Strong</t>
        </is>
      </c>
      <c r="C27" t="inlineStr">
        <is>
          <t>evidence/batch_b_lcm/specs/</t>
        </is>
      </c>
      <c r="D27" t="inlineStr">
        <is>
          <t>Valid PNG at requested size with complete provenance</t>
        </is>
      </c>
      <c r="E27" t="inlineStr">
        <is>
          <t>evidence/batch_b_lcm/images/</t>
        </is>
      </c>
      <c r="F27" t="inlineStr">
        <is>
          <t>sd15_lcm dtype=float16</t>
        </is>
      </c>
      <c r="G27" t="inlineStr">
        <is>
          <t>notebook/cuda</t>
        </is>
      </c>
      <c r="H27" t="inlineStr">
        <is>
          <t>Pass</t>
        </is>
      </c>
      <c r="I27" t="inlineStr">
        <is>
          <t>CLIPScore</t>
        </is>
      </c>
      <c r="J27" t="n">
        <v>29.839</v>
      </c>
      <c r="K27" t="inlineStr">
        <is>
          <t>attribute_accuracy</t>
        </is>
      </c>
      <c r="L27" t="n">
        <v>0.8333</v>
      </c>
      <c r="M27" t="n">
        <v>0.75</v>
      </c>
      <c r="P27" t="inlineStr">
        <is>
          <t>evidence/batch_b_lcm/validation.json</t>
        </is>
      </c>
      <c r="Q27" t="inlineStr">
        <is>
          <t>stddev=68.124</t>
        </is>
      </c>
    </row>
    <row r="28">
      <c r="A28" s="19" t="inlineStr">
        <is>
          <t>Benchmark method: timing boundary = backend.run() only; weight load excluded and reported as pipeline_load_sec. Warm-up 1 run(s) per job, 3 timed repetitions, median reported. Memory: process peak RSS via getrusage + psutil RSS snapshot. Seeds: fixed per job; identical across repetitions. Cache: pipeline cached across jobs; image resume disabled during benchmark. Machine: macOS-27.0-arm64-arm-64bit, 8 logical cores, 8590 MB RAM, device=mps. Limitation: no CUDA device on this host; peak accelerator memory is not measurable locally - peak accelerator memory is reported only for jobs executed on the Kaggle GPU route (peak_accelerator_mb in results.json). Quality reference: CLIP ViT-B/32 for adherence and DINOv2-small for identity/diversity, both pinned by revision; DINOv2 is a general image backbone, not a face-recognition model, so identity cosine is a relative comparison within a fixed pose/background and is not a biometric claim. No manual steps were excluded; every number here was produced by `openavatar evaluate`/`bench`.</t>
        </is>
      </c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4" t="n"/>
    </row>
    <row r="29">
      <c r="A29" s="78" t="n"/>
      <c r="Q29" s="79" t="n"/>
    </row>
    <row r="30">
      <c r="A30" s="78" t="n"/>
      <c r="Q30" s="79" t="n"/>
    </row>
    <row r="31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7" t="n"/>
    </row>
    <row r="32">
      <c r="A32" t="inlineStr">
        <is>
          <t>b2_var_attire__sd15__s2001</t>
        </is>
      </c>
      <c r="B32" t="inlineStr">
        <is>
          <t>Strong</t>
        </is>
      </c>
      <c r="C32" t="inlineStr">
        <is>
          <t>evidence/batch_b_sd15/specs/</t>
        </is>
      </c>
      <c r="D32" t="inlineStr">
        <is>
          <t>Valid PNG at requested size with complete provenance</t>
        </is>
      </c>
      <c r="E32" t="inlineStr">
        <is>
          <t>evidence/batch_b_sd15/images/</t>
        </is>
      </c>
      <c r="F32" t="inlineStr">
        <is>
          <t>sd15 dtype=float16</t>
        </is>
      </c>
      <c r="G32" t="inlineStr">
        <is>
          <t>notebook/cuda</t>
        </is>
      </c>
      <c r="H32" t="inlineStr">
        <is>
          <t>Pass</t>
        </is>
      </c>
      <c r="I32" t="inlineStr">
        <is>
          <t>CLIPScore</t>
        </is>
      </c>
      <c r="J32" t="n">
        <v>26.9</v>
      </c>
      <c r="K32" t="inlineStr">
        <is>
          <t>attribute_accuracy</t>
        </is>
      </c>
      <c r="L32" t="n">
        <v>0.75</v>
      </c>
      <c r="M32" t="n">
        <v>2.238</v>
      </c>
      <c r="P32" t="inlineStr">
        <is>
          <t>evidence/batch_b_sd15/validation.json</t>
        </is>
      </c>
      <c r="Q32" t="inlineStr">
        <is>
          <t>stddev=57.28</t>
        </is>
      </c>
    </row>
    <row r="33">
      <c r="A33" t="inlineStr">
        <is>
          <t>b3_var_eyewear__sd15__s2001</t>
        </is>
      </c>
      <c r="B33" t="inlineStr">
        <is>
          <t>Strong</t>
        </is>
      </c>
      <c r="C33" t="inlineStr">
        <is>
          <t>evidence/batch_b_sd15/specs/</t>
        </is>
      </c>
      <c r="D33" t="inlineStr">
        <is>
          <t>Valid PNG at requested size with complete provenance</t>
        </is>
      </c>
      <c r="E33" t="inlineStr">
        <is>
          <t>evidence/batch_b_sd15/images/</t>
        </is>
      </c>
      <c r="F33" t="inlineStr">
        <is>
          <t>sd15 dtype=float16</t>
        </is>
      </c>
      <c r="G33" t="inlineStr">
        <is>
          <t>notebook/cuda</t>
        </is>
      </c>
      <c r="H33" t="inlineStr">
        <is>
          <t>Pass</t>
        </is>
      </c>
      <c r="I33" t="inlineStr">
        <is>
          <t>CLIPScore</t>
        </is>
      </c>
      <c r="J33" t="n">
        <v>28.22</v>
      </c>
      <c r="K33" t="inlineStr">
        <is>
          <t>attribute_accuracy</t>
        </is>
      </c>
      <c r="L33" t="n">
        <v>0.5</v>
      </c>
      <c r="M33" t="n">
        <v>2.251</v>
      </c>
      <c r="P33" t="inlineStr">
        <is>
          <t>evidence/batch_b_sd15/validation.json</t>
        </is>
      </c>
      <c r="Q33" t="inlineStr">
        <is>
          <t>stddev=61.907</t>
        </is>
      </c>
    </row>
    <row r="34">
      <c r="A34" t="inlineStr">
        <is>
          <t>b4_var_background__sd15__s2001</t>
        </is>
      </c>
      <c r="B34" t="inlineStr">
        <is>
          <t>Strong</t>
        </is>
      </c>
      <c r="C34" t="inlineStr">
        <is>
          <t>evidence/batch_b_sd15/specs/</t>
        </is>
      </c>
      <c r="D34" t="inlineStr">
        <is>
          <t>Valid PNG at requested size with complete provenance</t>
        </is>
      </c>
      <c r="E34" t="inlineStr">
        <is>
          <t>evidence/batch_b_sd15/images/</t>
        </is>
      </c>
      <c r="F34" t="inlineStr">
        <is>
          <t>sd15 dtype=float16</t>
        </is>
      </c>
      <c r="G34" t="inlineStr">
        <is>
          <t>notebook/cuda</t>
        </is>
      </c>
      <c r="H34" t="inlineStr">
        <is>
          <t>Pass</t>
        </is>
      </c>
      <c r="I34" t="inlineStr">
        <is>
          <t>CLIPScore</t>
        </is>
      </c>
      <c r="J34" t="n">
        <v>27.179</v>
      </c>
      <c r="K34" t="inlineStr">
        <is>
          <t>attribute_accuracy</t>
        </is>
      </c>
      <c r="L34" t="n">
        <v>0.6667</v>
      </c>
      <c r="M34" t="n">
        <v>2.255</v>
      </c>
      <c r="P34" t="inlineStr">
        <is>
          <t>evidence/batch_b_sd15/validation.json</t>
        </is>
      </c>
      <c r="Q34" t="inlineStr">
        <is>
          <t>stddev=58.446</t>
        </is>
      </c>
    </row>
    <row r="35">
      <c r="A35" t="inlineStr">
        <is>
          <t>c3_valid_control__sd15__s3003</t>
        </is>
      </c>
      <c r="B35" t="inlineStr">
        <is>
          <t>Edge case</t>
        </is>
      </c>
      <c r="C35" t="inlineStr">
        <is>
          <t>evidence/batch_c_edge/specs/</t>
        </is>
      </c>
      <c r="D35" t="inlineStr">
        <is>
          <t>Valid PNG at requested size with complete provenance</t>
        </is>
      </c>
      <c r="E35" t="inlineStr">
        <is>
          <t>evidence/batch_c_edge/images/</t>
        </is>
      </c>
      <c r="F35" t="inlineStr">
        <is>
          <t xml:space="preserve"> dtype=float16</t>
        </is>
      </c>
      <c r="G35" t="inlineStr">
        <is>
          <t>notebook/cuda</t>
        </is>
      </c>
      <c r="H35" t="inlineStr">
        <is>
          <t>Fail</t>
        </is>
      </c>
      <c r="I35" t="inlineStr">
        <is>
          <t>CLIPScore</t>
        </is>
      </c>
      <c r="K35" t="inlineStr">
        <is>
          <t>attribute_accuracy</t>
        </is>
      </c>
      <c r="M35" t="n">
        <v>2.245</v>
      </c>
      <c r="P35" t="inlineStr">
        <is>
          <t>evidence/batch_c_edge/validation.json</t>
        </is>
      </c>
      <c r="Q35" t="inlineStr">
        <is>
          <t>TRUNCATED_IMAGE</t>
        </is>
      </c>
    </row>
    <row r="36">
      <c r="A36" t="inlineStr">
        <is>
          <t>c1_ambiguous</t>
        </is>
      </c>
      <c r="B36" t="inlineStr">
        <is>
          <t>Edge case</t>
        </is>
      </c>
      <c r="C36" t="inlineStr">
        <is>
          <t>evidence/batch_c_edge/held/c1_ambiguous.json</t>
        </is>
      </c>
      <c r="D36" t="inlineStr">
        <is>
          <t>Expect NEEDS_CLARIFICATION</t>
        </is>
      </c>
      <c r="E36" t="inlineStr">
        <is>
          <t>no output - correctly not executed</t>
        </is>
      </c>
      <c r="G36" t="inlineStr">
        <is>
          <t>n/a - blocked before compute</t>
        </is>
      </c>
      <c r="H36" t="inlineStr">
        <is>
          <t>Pass</t>
        </is>
      </c>
      <c r="P36" t="inlineStr">
        <is>
          <t>evidence/batch_c_edge/safety_log.jsonl</t>
        </is>
      </c>
      <c r="Q36" t="inlineStr">
        <is>
          <t>NEEDS_CLARIFICATION: AMBIGUOUS_TERM</t>
        </is>
      </c>
    </row>
    <row r="37">
      <c r="A37" t="inlineStr">
        <is>
          <t>c2_disallowed</t>
        </is>
      </c>
      <c r="B37" t="inlineStr">
        <is>
          <t>Edge case</t>
        </is>
      </c>
      <c r="C37" t="inlineStr">
        <is>
          <t>evidence/batch_c_edge/held/c2_disallowed.json</t>
        </is>
      </c>
      <c r="D37" t="inlineStr">
        <is>
          <t>Expect REFUSE</t>
        </is>
      </c>
      <c r="E37" t="inlineStr">
        <is>
          <t>no output - correctly not executed</t>
        </is>
      </c>
      <c r="G37" t="inlineStr">
        <is>
          <t>n/a - blocked before compute</t>
        </is>
      </c>
      <c r="H37" t="inlineStr">
        <is>
          <t>Pass</t>
        </is>
      </c>
      <c r="P37" t="inlineStr">
        <is>
          <t>evidence/batch_c_edge/safety_log.jsonl</t>
        </is>
      </c>
      <c r="Q37" t="inlineStr">
        <is>
          <t>REFUSE: IMPERSONATION, REAL_PERSON_TARGETING</t>
        </is>
      </c>
    </row>
  </sheetData>
  <mergeCells count="4">
    <mergeCell ref="A4:Q4"/>
    <mergeCell ref="A2:Q2"/>
    <mergeCell ref="A1:Q1"/>
    <mergeCell ref="A28:Q31"/>
  </mergeCells>
  <dataValidations count="3">
    <dataValidation sqref="B7:B26" showDropDown="0" showInputMessage="0" showErrorMessage="0" allowBlank="0" type="list">
      <formula1>"Baseline,Strong,Exceptional,Negative / failure,Hidden / live"</formula1>
    </dataValidation>
    <dataValidation sqref="G7:G26" showDropDown="0" showInputMessage="0" showErrorMessage="0" allowBlank="0" type="list">
      <formula1>"Local CPU,Approved free compute,IncuBrix equivalent"</formula1>
    </dataValidation>
    <dataValidation sqref="H7:H26" showDropDown="0" showInputMessage="0" showErrorMessage="0" allowBlank="0" type="list">
      <formula1>"Yes,No,Partial"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3" t="inlineStr">
        <is>
          <t>Track 02 | Open-Source AI Human-Avatar Generation</t>
        </is>
      </c>
    </row>
    <row r="2" ht="28" customHeight="1">
      <c r="A2" s="7" t="inlineStr">
        <is>
          <t>Baseline is mandatory; higher-level points require complete verified evidence</t>
        </is>
      </c>
    </row>
    <row r="4" ht="23" customHeight="1">
      <c r="A4" s="10" t="inlineStr">
        <is>
          <t>Problem and Product Context</t>
        </is>
      </c>
    </row>
    <row r="5" ht="54" customHeight="1">
      <c r="A5" s="14" t="inlineStr">
        <is>
          <t>Original/refined intent</t>
        </is>
      </c>
      <c r="B5" s="34" t="inlineStr">
        <is>
          <t>Use open-source generative AI to create human avatars, support inclusive appearance controls across nationalities and ethnicities, and—at the highest level—create a consistent avatar for a consenting individual.</t>
        </is>
      </c>
      <c r="C5" s="70" t="n"/>
      <c r="D5" s="70" t="n"/>
      <c r="E5" s="70" t="n"/>
      <c r="F5" s="70" t="n"/>
      <c r="G5" s="70" t="n"/>
      <c r="H5" s="71" t="n"/>
    </row>
    <row r="6" ht="54" customHeight="1">
      <c r="A6" s="14" t="inlineStr">
        <is>
          <t>Product value</t>
        </is>
      </c>
      <c r="B6" s="34" t="inlineStr">
        <is>
          <t>Reusable presenter identities and visual localisation without commercial generation APIs</t>
        </is>
      </c>
      <c r="C6" s="70" t="n"/>
      <c r="D6" s="70" t="n"/>
      <c r="E6" s="70" t="n"/>
      <c r="F6" s="70" t="n"/>
      <c r="G6" s="70" t="n"/>
      <c r="H6" s="71" t="n"/>
    </row>
    <row r="7" ht="54" customHeight="1">
      <c r="A7" s="14" t="inlineStr">
        <is>
          <t>Execution route</t>
        </is>
      </c>
      <c r="B7" s="34" t="inlineStr">
        <is>
          <t>Hybrid. The orchestration, safety checks, metadata, evaluation and tests must run locally on a non-GPU laptop. Image-model inference may run in a disclosed free accelerator notebook because realistic generation is generally impractical on typical CPUs. No candidate payment or card is permitted.</t>
        </is>
      </c>
      <c r="C7" s="70" t="n"/>
      <c r="D7" s="70" t="n"/>
      <c r="E7" s="70" t="n"/>
      <c r="F7" s="70" t="n"/>
      <c r="G7" s="70" t="n"/>
      <c r="H7" s="71" t="n"/>
    </row>
    <row r="8" ht="54" customHeight="1">
      <c r="A8" s="14" t="inlineStr">
        <is>
          <t>Input/output contract</t>
        </is>
      </c>
      <c r="B8" s="34" t="inlineStr">
        <is>
          <t>Input: structured avatar specification (age band, presentation, skin tone, hair, attire, background, pose and optional consented reference images). Output: PNG/JPEG assets plus avatar_manifest.json containing prompt/spec, seed, model/checkpoint, provenance, safety results and compute route.</t>
        </is>
      </c>
      <c r="C8" s="70" t="n"/>
      <c r="D8" s="70" t="n"/>
      <c r="E8" s="70" t="n"/>
      <c r="F8" s="70" t="n"/>
      <c r="G8" s="70" t="n"/>
      <c r="H8" s="71" t="n"/>
    </row>
    <row r="10" ht="23" customHeight="1">
      <c r="A10" s="10" t="inlineStr">
        <is>
          <t>Performance Levels</t>
        </is>
      </c>
    </row>
    <row r="11">
      <c r="A11" s="37" t="inlineStr">
        <is>
          <t>Level</t>
        </is>
      </c>
      <c r="B11" s="37" t="inlineStr">
        <is>
          <t>Requirement</t>
        </is>
      </c>
      <c r="C11" s="70" t="n"/>
      <c r="D11" s="70" t="n"/>
      <c r="E11" s="70" t="n"/>
      <c r="F11" s="70" t="n"/>
      <c r="G11" s="70" t="n"/>
      <c r="H11" s="71" t="n"/>
    </row>
    <row r="12" ht="92" customHeight="1">
      <c r="A12" s="40" t="inlineStr">
        <is>
          <t>Baseline - mandatory</t>
        </is>
      </c>
      <c r="B12" s="34" t="inlineStr">
        <is>
          <t>Generate at least six fictional human-avatar portraits with an openly available model executed by the candidate. Provide deterministic seeds, structured specifications, negative/safety controls, provenance and a local CLI that prepares jobs and validates returned outputs. At least two batches must be reproducible from a clean notebook or IncuBrix-provided run slot.</t>
        </is>
      </c>
      <c r="C12" s="70" t="n"/>
      <c r="D12" s="70" t="n"/>
      <c r="E12" s="70" t="n"/>
      <c r="F12" s="70" t="n"/>
      <c r="G12" s="70" t="n"/>
      <c r="H12" s="71" t="n"/>
    </row>
    <row r="13" ht="92" customHeight="1">
      <c r="A13" s="56" t="inlineStr">
        <is>
          <t>Strong</t>
        </is>
      </c>
      <c r="B13" s="34" t="inlineStr">
        <is>
          <t>Generate a balanced test matrix spanning at least six materially different geographic/cultural appearance requirements without stereotyping. Separate appearance attributes from nationality labels, support controlled changes to at least four attributes, quantify prompt/spec adherence and identity consistency, and compare two open models or conditioning approaches.</t>
        </is>
      </c>
      <c r="C13" s="70" t="n"/>
      <c r="D13" s="70" t="n"/>
      <c r="E13" s="70" t="n"/>
      <c r="F13" s="70" t="n"/>
      <c r="G13" s="70" t="n"/>
      <c r="H13" s="71" t="n"/>
    </row>
    <row r="14" ht="92" customHeight="1">
      <c r="A14" s="52" t="inlineStr">
        <is>
          <t>Exceptional</t>
        </is>
      </c>
      <c r="B14" s="34" t="inlineStr">
        <is>
          <t>With explicit consent and rights to the reference images, create a consistent individual avatar across at least five poses/backgrounds and two aspect ratios. Evaluate identity consistency using an independent embedding system plus human review, label synthetic media, document privacy/deletion controls and demonstrate refusal when consent is absent.</t>
        </is>
      </c>
      <c r="C14" s="70" t="n"/>
      <c r="D14" s="70" t="n"/>
      <c r="E14" s="70" t="n"/>
      <c r="F14" s="70" t="n"/>
      <c r="G14" s="70" t="n"/>
      <c r="H14" s="71" t="n"/>
    </row>
    <row r="16" ht="23" customHeight="1">
      <c r="A16" s="10" t="inlineStr">
        <is>
          <t>Required Test Matrix</t>
        </is>
      </c>
    </row>
    <row r="17" ht="36" customHeight="1">
      <c r="A17" s="29" t="n">
        <v>1</v>
      </c>
      <c r="B17" s="34" t="inlineStr">
        <is>
          <t>Six fictional avatars covering varied skin tones, hair, attire, age bands and backgrounds</t>
        </is>
      </c>
      <c r="C17" s="70" t="n"/>
      <c r="D17" s="70" t="n"/>
      <c r="E17" s="70" t="n"/>
      <c r="F17" s="70" t="n"/>
      <c r="G17" s="70" t="n"/>
      <c r="H17" s="71" t="n"/>
    </row>
    <row r="18" ht="36" customHeight="1">
      <c r="A18" s="29" t="n">
        <v>2</v>
      </c>
      <c r="B18" s="34" t="inlineStr">
        <is>
          <t>Four controlled single-attribute changes while other attributes remain stable</t>
        </is>
      </c>
      <c r="C18" s="70" t="n"/>
      <c r="D18" s="70" t="n"/>
      <c r="E18" s="70" t="n"/>
      <c r="F18" s="70" t="n"/>
      <c r="G18" s="70" t="n"/>
      <c r="H18" s="71" t="n"/>
    </row>
    <row r="19" ht="36" customHeight="1">
      <c r="A19" s="29" t="n">
        <v>3</v>
      </c>
      <c r="B19" s="34" t="inlineStr">
        <is>
          <t>One ambiguous specification, one unsafe/disallowed request and one corrupted output</t>
        </is>
      </c>
      <c r="C19" s="70" t="n"/>
      <c r="D19" s="70" t="n"/>
      <c r="E19" s="70" t="n"/>
      <c r="F19" s="70" t="n"/>
      <c r="G19" s="70" t="n"/>
      <c r="H19" s="71" t="n"/>
    </row>
    <row r="20" ht="36" customHeight="1">
      <c r="A20" s="29" t="n">
        <v>4</v>
      </c>
      <c r="B20" s="34" t="inlineStr">
        <is>
          <t>Exceptional only: five scenes, two aspect ratios and consented reference set</t>
        </is>
      </c>
      <c r="C20" s="70" t="n"/>
      <c r="D20" s="70" t="n"/>
      <c r="E20" s="70" t="n"/>
      <c r="F20" s="70" t="n"/>
      <c r="G20" s="70" t="n"/>
      <c r="H20" s="71" t="n"/>
    </row>
    <row r="22" ht="23" customHeight="1">
      <c r="A22" s="10" t="inlineStr">
        <is>
          <t>Implementation Guidance and Minimum Evidence</t>
        </is>
      </c>
    </row>
    <row r="23" ht="34" customHeight="1">
      <c r="A23" s="58" t="n">
        <v>1</v>
      </c>
      <c r="B23" s="34" t="inlineStr">
        <is>
          <t>Guidance: Represent requested traits as neutral attributes; do not encode nationality as a stereotype or claim biometric truth.</t>
        </is>
      </c>
      <c r="C23" s="70" t="n"/>
      <c r="D23" s="70" t="n"/>
      <c r="E23" s="70" t="n"/>
      <c r="F23" s="70" t="n"/>
      <c r="G23" s="70" t="n"/>
      <c r="H23" s="71" t="n"/>
    </row>
    <row r="24" ht="34" customHeight="1">
      <c r="A24" s="58" t="n">
        <v>2</v>
      </c>
      <c r="B24" s="34" t="inlineStr">
        <is>
          <t>Guidance: Use low resolution, few steps and memory-efficient attention first; scale only after the pipeline is stable.</t>
        </is>
      </c>
      <c r="C24" s="70" t="n"/>
      <c r="D24" s="70" t="n"/>
      <c r="E24" s="70" t="n"/>
      <c r="F24" s="70" t="n"/>
      <c r="G24" s="70" t="n"/>
      <c r="H24" s="71" t="n"/>
    </row>
    <row r="25" ht="34" customHeight="1">
      <c r="A25" s="58" t="n">
        <v>3</v>
      </c>
      <c r="B25" s="34" t="inlineStr">
        <is>
          <t>Guidance: The local CLI should create a portable job bundle, invoke or guide notebook execution, ingest results and validate dimensions/provenance.</t>
        </is>
      </c>
      <c r="C25" s="70" t="n"/>
      <c r="D25" s="70" t="n"/>
      <c r="E25" s="70" t="n"/>
      <c r="F25" s="70" t="n"/>
      <c r="G25" s="70" t="n"/>
      <c r="H25" s="71" t="n"/>
    </row>
    <row r="26" ht="34" customHeight="1">
      <c r="A26" s="58" t="n">
        <v>4</v>
      </c>
      <c r="B26" s="34" t="inlineStr">
        <is>
          <t>Guidance: Do not use Google Colab for individual-avatar/deepfake work because its managed-runtime policy prohibits deepfake creation.</t>
        </is>
      </c>
      <c r="C26" s="70" t="n"/>
      <c r="D26" s="70" t="n"/>
      <c r="E26" s="70" t="n"/>
      <c r="F26" s="70" t="n"/>
      <c r="G26" s="70" t="n"/>
      <c r="H26" s="71" t="n"/>
    </row>
    <row r="27" ht="34" customHeight="1">
      <c r="A27" s="58" t="n">
        <v>5</v>
      </c>
      <c r="B27" s="34" t="inlineStr">
        <is>
          <t>Evidence: Executable notebook with pinned model revision and downloadable outputs</t>
        </is>
      </c>
      <c r="C27" s="70" t="n"/>
      <c r="D27" s="70" t="n"/>
      <c r="E27" s="70" t="n"/>
      <c r="F27" s="70" t="n"/>
      <c r="G27" s="70" t="n"/>
      <c r="H27" s="71" t="n"/>
    </row>
    <row r="28" ht="34" customHeight="1">
      <c r="A28" s="58" t="n">
        <v>6</v>
      </c>
      <c r="B28" s="34" t="inlineStr">
        <is>
          <t>Evidence: Local job specification, validator, safety log and provenance manifest</t>
        </is>
      </c>
      <c r="C28" s="70" t="n"/>
      <c r="D28" s="70" t="n"/>
      <c r="E28" s="70" t="n"/>
      <c r="F28" s="70" t="n"/>
      <c r="G28" s="70" t="n"/>
      <c r="H28" s="71" t="n"/>
    </row>
    <row r="29" ht="34" customHeight="1">
      <c r="A29" s="58" t="n">
        <v>7</v>
      </c>
      <c r="B29" s="34" t="inlineStr">
        <is>
          <t>Evidence: All generated attempts with seeds, including rejected or degraded cases</t>
        </is>
      </c>
      <c r="C29" s="70" t="n"/>
      <c r="D29" s="70" t="n"/>
      <c r="E29" s="70" t="n"/>
      <c r="F29" s="70" t="n"/>
      <c r="G29" s="70" t="n"/>
      <c r="H29" s="71" t="n"/>
    </row>
    <row r="30" ht="34" customHeight="1">
      <c r="A30" s="58" t="n">
        <v>8</v>
      </c>
      <c r="B30" s="34" t="inlineStr">
        <is>
          <t>Evidence: Attribute test matrix and documented human-review protocol</t>
        </is>
      </c>
      <c r="C30" s="70" t="n"/>
      <c r="D30" s="70" t="n"/>
      <c r="E30" s="70" t="n"/>
      <c r="F30" s="70" t="n"/>
      <c r="G30" s="70" t="n"/>
      <c r="H30" s="71" t="n"/>
    </row>
  </sheetData>
  <mergeCells count="26">
    <mergeCell ref="B6:H6"/>
    <mergeCell ref="B24:H24"/>
    <mergeCell ref="B30:H30"/>
    <mergeCell ref="A1:H1"/>
    <mergeCell ref="B5:H5"/>
    <mergeCell ref="B20:H20"/>
    <mergeCell ref="B26:H26"/>
    <mergeCell ref="A16:H16"/>
    <mergeCell ref="B7:H7"/>
    <mergeCell ref="B25:H25"/>
    <mergeCell ref="B18:H18"/>
    <mergeCell ref="B27:H27"/>
    <mergeCell ref="A2:H2"/>
    <mergeCell ref="B12:H12"/>
    <mergeCell ref="B11:H11"/>
    <mergeCell ref="A22:H22"/>
    <mergeCell ref="B23:H23"/>
    <mergeCell ref="A4:H4"/>
    <mergeCell ref="B8:H8"/>
    <mergeCell ref="B14:H14"/>
    <mergeCell ref="B17:H17"/>
    <mergeCell ref="B13:H13"/>
    <mergeCell ref="A10:H10"/>
    <mergeCell ref="B29:H29"/>
    <mergeCell ref="B19:H19"/>
    <mergeCell ref="B28:H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42" customWidth="1" min="4" max="4"/>
    <col width="19" customWidth="1" min="5" max="5"/>
    <col width="20" customWidth="1" min="6" max="6"/>
    <col width="20" customWidth="1" min="7" max="7"/>
  </cols>
  <sheetData>
    <row r="1" ht="34" customHeight="1">
      <c r="A1" s="3" t="inlineStr">
        <is>
          <t>Track 02 | Evaluator Review and Final Result</t>
        </is>
      </c>
    </row>
    <row r="2" ht="28" customHeight="1">
      <c r="A2" s="7" t="inlineStr">
        <is>
          <t>Blue cells are reviewer inputs; green cells calculate eligibility, total and performance band</t>
        </is>
      </c>
    </row>
    <row r="4" ht="23" customHeight="1">
      <c r="A4" s="10" t="inlineStr">
        <is>
          <t>Hard Eligibility Gates</t>
        </is>
      </c>
    </row>
    <row r="5">
      <c r="A5" s="14" t="inlineStr">
        <is>
          <t>Runnable core</t>
        </is>
      </c>
      <c r="B5" s="48" t="str"/>
      <c r="C5" s="34" t="inlineStr">
        <is>
          <t>End-to-end output from submitted code and documented input</t>
        </is>
      </c>
      <c r="D5" s="71" t="n"/>
      <c r="E5" s="35" t="inlineStr">
        <is>
          <t>Eligibility</t>
        </is>
      </c>
      <c r="F5" s="59">
        <f>IF(COUNTIF(B5:B11,"No")&gt;0,"INELIGIBLE",IF(COUNTIF(B5:B11,"Yes")=7,"ELIGIBLE","PENDING"))</f>
        <v/>
      </c>
      <c r="G5" s="71" t="n"/>
    </row>
    <row r="6">
      <c r="A6" s="14" t="inlineStr">
        <is>
          <t>Permitted compute</t>
        </is>
      </c>
      <c r="B6" s="48" t="str"/>
      <c r="C6" s="34" t="inlineStr">
        <is>
          <t>Track compute rules followed; zero candidate spend; no hidden paid endpoint</t>
        </is>
      </c>
      <c r="D6" s="71" t="n"/>
    </row>
    <row r="7">
      <c r="A7" s="14" t="inlineStr">
        <is>
          <t>Open/local AI</t>
        </is>
      </c>
      <c r="B7" s="48" t="str"/>
      <c r="C7" s="34" t="inlineStr">
        <is>
          <t>No commercial generation API; material components disclosed</t>
        </is>
      </c>
      <c r="D7" s="71" t="n"/>
      <c r="E7" s="64" t="inlineStr">
        <is>
          <t>Any No makes the submission ineligible. Record evidence before stopping normal scoring. A partial score may be retained for feedback only.</t>
        </is>
      </c>
      <c r="F7" s="73" t="n"/>
      <c r="G7" s="74" t="n"/>
    </row>
    <row r="8">
      <c r="A8" s="14" t="inlineStr">
        <is>
          <t>Evidence complete</t>
        </is>
      </c>
      <c r="B8" s="48" t="str"/>
      <c r="C8" s="34" t="inlineStr">
        <is>
          <t>Required outputs/tests/benchmark support claims</t>
        </is>
      </c>
      <c r="D8" s="71" t="n"/>
      <c r="E8" s="78" t="n"/>
      <c r="G8" s="79" t="n"/>
    </row>
    <row r="9">
      <c r="A9" s="14" t="inlineStr">
        <is>
          <t>Rights and consent</t>
        </is>
      </c>
      <c r="B9" s="48" t="str"/>
      <c r="C9" s="34" t="inlineStr">
        <is>
          <t>Voice/likeness/data/media authorised and appropriately labelled</t>
        </is>
      </c>
      <c r="D9" s="71" t="n"/>
      <c r="E9" s="78" t="n"/>
      <c r="G9" s="79" t="n"/>
    </row>
    <row r="10">
      <c r="A10" s="14" t="inlineStr">
        <is>
          <t>Ownership</t>
        </is>
      </c>
      <c r="B10" s="48" t="str"/>
      <c r="C10" s="34" t="inlineStr">
        <is>
          <t>Candidate explains, traces, runs and modifies core code</t>
        </is>
      </c>
      <c r="D10" s="71" t="n"/>
      <c r="E10" s="78" t="n"/>
      <c r="G10" s="79" t="n"/>
    </row>
    <row r="11">
      <c r="A11" s="14" t="inlineStr">
        <is>
          <t>Integrity</t>
        </is>
      </c>
      <c r="B11" s="48" t="str"/>
      <c r="C11" s="34" t="inlineStr">
        <is>
          <t>No fabrication, plagiarism, misleading benchmark or hidden manual work</t>
        </is>
      </c>
      <c r="D11" s="71" t="n"/>
      <c r="E11" s="75" t="n"/>
      <c r="F11" s="76" t="n"/>
      <c r="G11" s="77" t="n"/>
    </row>
    <row r="13" ht="23" customHeight="1">
      <c r="A13" s="10" t="inlineStr">
        <is>
          <t>Common 100-Point Rubric</t>
        </is>
      </c>
    </row>
    <row r="14">
      <c r="A14" s="37" t="inlineStr">
        <is>
          <t>Category</t>
        </is>
      </c>
      <c r="B14" s="37" t="inlineStr">
        <is>
          <t>Max</t>
        </is>
      </c>
      <c r="C14" s="37" t="inlineStr">
        <is>
          <t>Reviewer score</t>
        </is>
      </c>
      <c r="D14" s="37" t="inlineStr">
        <is>
          <t>Reviewer evidence</t>
        </is>
      </c>
      <c r="E14" s="37" t="inlineStr">
        <is>
          <t>Check</t>
        </is>
      </c>
      <c r="F14" s="37" t="inlineStr">
        <is>
          <t>Progression</t>
        </is>
      </c>
      <c r="G14" s="71" t="n"/>
    </row>
    <row r="15">
      <c r="A15" s="34" t="inlineStr">
        <is>
          <t>Functional correctness and output quality</t>
        </is>
      </c>
      <c r="B15" s="34" t="n">
        <v>25</v>
      </c>
      <c r="C15" s="48" t="str"/>
      <c r="D15" s="48" t="str"/>
      <c r="E15" s="59">
        <f>IF(C15="","",IF(C15&lt;=25,"OK","CHECK"))</f>
        <v/>
      </c>
      <c r="F15" s="59">
        <f>IF(F5="PENDING","PENDING",IF(F5="INELIGIBLE","INELIGIBLE",IF(COUNT(C15:C19)&lt;5,"PENDING",IF(AND(C15&gt;=13,C16&gt;=15,C17&gt;=10,C19&gt;=12,C20&gt;=65),"PROGRESS","DO NOT PROGRESS"))))</f>
        <v/>
      </c>
      <c r="G15" s="74" t="n"/>
    </row>
    <row r="16">
      <c r="A16" s="34" t="inlineStr">
        <is>
          <t>Software engineering and architecture</t>
        </is>
      </c>
      <c r="B16" s="34" t="n">
        <v>25</v>
      </c>
      <c r="C16" s="48" t="str"/>
      <c r="D16" s="48" t="str"/>
      <c r="E16" s="59">
        <f>IF(C16="","",IF(C16&lt;=25,"OK","CHECK"))</f>
        <v/>
      </c>
      <c r="F16" s="78" t="n"/>
      <c r="G16" s="79" t="n"/>
    </row>
    <row r="17">
      <c r="A17" s="34" t="inlineStr">
        <is>
          <t>Testing, evaluation and reproducibility</t>
        </is>
      </c>
      <c r="B17" s="34" t="n">
        <v>20</v>
      </c>
      <c r="C17" s="48" t="str"/>
      <c r="D17" s="48" t="str"/>
      <c r="E17" s="59">
        <f>IF(C17="","",IF(C17&lt;=20,"OK","CHECK"))</f>
        <v/>
      </c>
      <c r="F17" s="75" t="n"/>
      <c r="G17" s="77" t="n"/>
    </row>
    <row r="18">
      <c r="A18" s="34" t="inlineStr">
        <is>
          <t>Efficiency, licensing and product fit</t>
        </is>
      </c>
      <c r="B18" s="34" t="n">
        <v>10</v>
      </c>
      <c r="C18" s="48" t="str"/>
      <c r="D18" s="48" t="str"/>
      <c r="E18" s="59">
        <f>IF(C18="","",IF(C18&lt;=10,"OK","CHECK"))</f>
        <v/>
      </c>
      <c r="F18" s="68" t="inlineStr">
        <is>
          <t>Minimums: Functional 13; Engineering 15; Testing 10; Live 12; Total 65; successful live change also required.</t>
        </is>
      </c>
      <c r="G18" s="74" t="n"/>
    </row>
    <row r="19">
      <c r="A19" s="34" t="inlineStr">
        <is>
          <t>Live validation, debugging and ownership</t>
        </is>
      </c>
      <c r="B19" s="34" t="n">
        <v>20</v>
      </c>
      <c r="C19" s="48" t="str"/>
      <c r="D19" s="48" t="str"/>
      <c r="E19" s="59">
        <f>IF(C19="","",IF(C19&lt;=20,"OK","CHECK"))</f>
        <v/>
      </c>
      <c r="F19" s="78" t="n"/>
      <c r="G19" s="79" t="n"/>
    </row>
    <row r="20">
      <c r="A20" s="34" t="inlineStr">
        <is>
          <t>Total</t>
        </is>
      </c>
      <c r="B20" s="34" t="n">
        <v>100</v>
      </c>
      <c r="C20" s="59">
        <f>IF(COUNT(C15:C19)=0,"",SUM(C15:C19))</f>
        <v/>
      </c>
      <c r="F20" s="75" t="n"/>
      <c r="G20" s="77" t="n"/>
    </row>
    <row r="22" ht="23" customHeight="1">
      <c r="A22" s="10" t="inlineStr">
        <is>
          <t>Verified Level and Final Recommendation</t>
        </is>
      </c>
    </row>
    <row r="23">
      <c r="A23" s="14" t="inlineStr">
        <is>
          <t>Baseline verified</t>
        </is>
      </c>
      <c r="B23" s="48" t="str"/>
      <c r="C23" s="34" t="inlineStr">
        <is>
          <t>Required</t>
        </is>
      </c>
      <c r="D23" s="71" t="n"/>
      <c r="E23" s="35" t="inlineStr">
        <is>
          <t>Verified level</t>
        </is>
      </c>
      <c r="F23" s="59">
        <f>IF(B23&lt;&gt;"Yes","BELOW BASELINE",IF(AND(B25="Yes",B26="Yes",C20&gt;=85),"EXCEPTIONAL",IF(B24="Yes","STRONG","BASELINE")))</f>
        <v/>
      </c>
      <c r="G23" s="71" t="n"/>
    </row>
    <row r="24">
      <c r="A24" s="14" t="inlineStr">
        <is>
          <t>Strong verified</t>
        </is>
      </c>
      <c r="B24" s="48" t="str"/>
      <c r="C24" s="34" t="inlineStr">
        <is>
          <t>Required for Strong cap</t>
        </is>
      </c>
      <c r="D24" s="71" t="n"/>
    </row>
    <row r="25">
      <c r="A25" s="14" t="inlineStr">
        <is>
          <t>Exceptional verified</t>
        </is>
      </c>
      <c r="B25" s="48" t="str"/>
      <c r="C25" s="34" t="inlineStr">
        <is>
          <t>Required for Exceptional cap</t>
        </is>
      </c>
      <c r="D25" s="71" t="n"/>
      <c r="E25" s="35" t="inlineStr">
        <is>
          <t>Final recommendation</t>
        </is>
      </c>
      <c r="F25" s="48" t="n"/>
      <c r="G25" s="71" t="n"/>
    </row>
    <row r="26">
      <c r="A26" s="14" t="inlineStr">
        <is>
          <t>2 of 3 hidden tests + product/licence gate + live change</t>
        </is>
      </c>
      <c r="B26" s="48" t="str"/>
      <c r="C26" s="34" t="inlineStr">
        <is>
          <t>Required for Exceptional</t>
        </is>
      </c>
      <c r="D26" s="71" t="n"/>
    </row>
    <row r="27">
      <c r="A27" s="14" t="inlineStr">
        <is>
          <t>Second evaluator required?</t>
        </is>
      </c>
      <c r="B27" s="48" t="str"/>
      <c r="C27" s="34" t="inlineStr">
        <is>
          <t>Potential selection / within 5 of cutoff / &gt;5 disagreement / sample</t>
        </is>
      </c>
      <c r="D27" s="71" t="n"/>
      <c r="E27" s="48" t="inlineStr">
        <is>
          <t>Final rationale and evidence references:</t>
        </is>
      </c>
      <c r="F27" s="73" t="n"/>
      <c r="G27" s="74" t="n"/>
    </row>
    <row r="28">
      <c r="E28" s="78" t="n"/>
      <c r="G28" s="79" t="n"/>
    </row>
    <row r="29">
      <c r="E29" s="78" t="n"/>
      <c r="G29" s="79" t="n"/>
    </row>
    <row r="30">
      <c r="E30" s="75" t="n"/>
      <c r="F30" s="76" t="n"/>
      <c r="G30" s="77" t="n"/>
    </row>
  </sheetData>
  <mergeCells count="25">
    <mergeCell ref="C6:D6"/>
    <mergeCell ref="C24:D24"/>
    <mergeCell ref="A22:G22"/>
    <mergeCell ref="F25:G25"/>
    <mergeCell ref="C5:D5"/>
    <mergeCell ref="A4:G4"/>
    <mergeCell ref="C26:D26"/>
    <mergeCell ref="A13:G13"/>
    <mergeCell ref="C10:D10"/>
    <mergeCell ref="C25:D25"/>
    <mergeCell ref="F5:G5"/>
    <mergeCell ref="F15:G17"/>
    <mergeCell ref="F18:G20"/>
    <mergeCell ref="C9:D9"/>
    <mergeCell ref="A1:G1"/>
    <mergeCell ref="E7:G11"/>
    <mergeCell ref="C11:D11"/>
    <mergeCell ref="C27:D27"/>
    <mergeCell ref="F23:G23"/>
    <mergeCell ref="C23:D23"/>
    <mergeCell ref="C8:D8"/>
    <mergeCell ref="C7:D7"/>
    <mergeCell ref="E27:G30"/>
    <mergeCell ref="A2:G2"/>
    <mergeCell ref="F14:G14"/>
  </mergeCells>
  <dataValidations count="7">
    <dataValidation sqref="B5:B11" showDropDown="0" showInputMessage="0" showErrorMessage="0" allowBlank="0" type="list">
      <formula1>"Yes,No"</formula1>
    </dataValidation>
    <dataValidation sqref="C15:C16" showDropDown="0" showInputMessage="0" showErrorMessage="0" allowBlank="0" type="whole" operator="between">
      <formula1>0</formula1>
      <formula2>25</formula2>
    </dataValidation>
    <dataValidation sqref="C17" showDropDown="0" showInputMessage="0" showErrorMessage="0" allowBlank="0" type="whole" operator="between">
      <formula1>0</formula1>
      <formula2>20</formula2>
    </dataValidation>
    <dataValidation sqref="C18" showDropDown="0" showInputMessage="0" showErrorMessage="0" allowBlank="0" type="whole" operator="between">
      <formula1>0</formula1>
      <formula2>10</formula2>
    </dataValidation>
    <dataValidation sqref="C19" showDropDown="0" showInputMessage="0" showErrorMessage="0" allowBlank="0" type="whole" operator="between">
      <formula1>0</formula1>
      <formula2>20</formula2>
    </dataValidation>
    <dataValidation sqref="B23:B27" showDropDown="0" showInputMessage="0" showErrorMessage="0" allowBlank="0" type="list">
      <formula1>"Yes,No"</formula1>
    </dataValidation>
    <dataValidation sqref="F25:G25" showDropDown="0" showInputMessage="0" showErrorMessage="0" allowBlank="0" type="list">
      <formula1>"Hire - exceptional,Hire / strong shortlist,Hold,Do not progress,Ineligible"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15" customWidth="1" min="5" max="5"/>
    <col width="30" customWidth="1" min="6" max="6"/>
    <col width="15" customWidth="1" min="7" max="7"/>
    <col width="18" customWidth="1" min="8" max="8"/>
  </cols>
  <sheetData>
    <row r="1" ht="34" customHeight="1">
      <c r="A1" s="3" t="inlineStr">
        <is>
          <t>Track 02 | Live Validation and Ownership</t>
        </is>
      </c>
    </row>
    <row r="2" ht="28" customHeight="1">
      <c r="A2" s="7" t="inlineStr">
        <is>
          <t>Internal evaluator sheet; do not share hidden inputs before the session</t>
        </is>
      </c>
    </row>
    <row r="4" ht="23" customHeight="1">
      <c r="A4" s="10" t="inlineStr">
        <is>
          <t>Hidden Tests</t>
        </is>
      </c>
    </row>
    <row r="5">
      <c r="A5" s="37" t="inlineStr">
        <is>
          <t>Test</t>
        </is>
      </c>
      <c r="B5" s="37" t="inlineStr">
        <is>
          <t>Input hash/path</t>
        </is>
      </c>
      <c r="C5" s="37" t="inlineStr">
        <is>
          <t>Expected behaviour</t>
        </is>
      </c>
      <c r="D5" s="37" t="inlineStr">
        <is>
          <t>Actual result</t>
        </is>
      </c>
      <c r="E5" s="37" t="inlineStr">
        <is>
          <t>Result</t>
        </is>
      </c>
      <c r="F5" s="37" t="inlineStr">
        <is>
          <t>Evidence/log</t>
        </is>
      </c>
      <c r="G5" s="37" t="inlineStr">
        <is>
          <t>Score impact</t>
        </is>
      </c>
      <c r="H5" s="37" t="inlineStr">
        <is>
          <t>Evaluator</t>
        </is>
      </c>
    </row>
    <row r="6" ht="48" customHeight="1">
      <c r="A6" s="48" t="inlineStr">
        <is>
          <t>Hidden 1</t>
        </is>
      </c>
      <c r="B6" s="48" t="str"/>
      <c r="C6" s="48" t="str"/>
      <c r="D6" s="48" t="str"/>
      <c r="E6" s="48" t="str"/>
      <c r="F6" s="48" t="str"/>
      <c r="G6" s="48" t="str"/>
      <c r="H6" s="48" t="str"/>
    </row>
    <row r="7" ht="48" customHeight="1">
      <c r="A7" s="48" t="inlineStr">
        <is>
          <t>Hidden 2</t>
        </is>
      </c>
      <c r="B7" s="48" t="str"/>
      <c r="C7" s="48" t="str"/>
      <c r="D7" s="48" t="str"/>
      <c r="E7" s="48" t="str"/>
      <c r="F7" s="48" t="str"/>
      <c r="G7" s="48" t="str"/>
      <c r="H7" s="48" t="str"/>
    </row>
    <row r="8" ht="48" customHeight="1">
      <c r="A8" s="48" t="inlineStr">
        <is>
          <t>Hidden 3</t>
        </is>
      </c>
      <c r="B8" s="48" t="str"/>
      <c r="C8" s="48" t="str"/>
      <c r="D8" s="48" t="str"/>
      <c r="E8" s="48" t="str"/>
      <c r="F8" s="48" t="str"/>
      <c r="G8" s="48" t="str"/>
      <c r="H8" s="48" t="str"/>
    </row>
    <row r="10" ht="23" customHeight="1">
      <c r="A10" s="10" t="inlineStr">
        <is>
          <t>Bounded Code Change</t>
        </is>
      </c>
    </row>
    <row r="11" ht="43" customHeight="1">
      <c r="A11" s="14" t="inlineStr">
        <is>
          <t>Change request</t>
        </is>
      </c>
      <c r="B11" s="48" t="inlineStr">
        <is>
          <t>Add a new controlled attribute or provenance validation rule, update the schema and tests, then process one hidden specification.</t>
        </is>
      </c>
    </row>
    <row r="12" ht="43" customHeight="1">
      <c r="A12" s="14" t="inlineStr">
        <is>
          <t>Candidate prediction</t>
        </is>
      </c>
      <c r="B12" s="48" t="str"/>
    </row>
    <row r="13" ht="43" customHeight="1">
      <c r="A13" s="14" t="inlineStr">
        <is>
          <t>Files/functions changed</t>
        </is>
      </c>
      <c r="B13" s="48" t="str"/>
    </row>
    <row r="14" ht="43" customHeight="1">
      <c r="A14" s="14" t="inlineStr">
        <is>
          <t>Test added/updated</t>
        </is>
      </c>
      <c r="B14" s="48" t="str"/>
    </row>
    <row r="15" ht="43" customHeight="1">
      <c r="A15" s="14" t="inlineStr">
        <is>
          <t>Smallest affected test result</t>
        </is>
      </c>
      <c r="B15" s="48" t="str"/>
    </row>
    <row r="16" ht="43" customHeight="1">
      <c r="A16" s="14" t="inlineStr">
        <is>
          <t>Relevant end-to-end retest</t>
        </is>
      </c>
      <c r="B16" s="48" t="str"/>
    </row>
    <row r="17" ht="43" customHeight="1">
      <c r="A17" s="14" t="inlineStr">
        <is>
          <t>Diagnosis/ownership evidence</t>
        </is>
      </c>
      <c r="B17" s="48" t="str"/>
    </row>
    <row r="18" ht="43" customHeight="1">
      <c r="A18" s="14" t="inlineStr">
        <is>
          <t>Final result</t>
        </is>
      </c>
      <c r="B18" s="48" t="str"/>
    </row>
    <row r="20" ht="23" customHeight="1">
      <c r="A20" s="10" t="inlineStr">
        <is>
          <t>Ownership Questions and Session Notes</t>
        </is>
      </c>
    </row>
    <row r="21">
      <c r="A21" s="48" t="n"/>
      <c r="B21" s="73" t="n"/>
      <c r="C21" s="73" t="n"/>
      <c r="D21" s="73" t="n"/>
      <c r="E21" s="73" t="n"/>
      <c r="F21" s="73" t="n"/>
      <c r="G21" s="73" t="n"/>
      <c r="H21" s="74" t="n"/>
    </row>
    <row r="22">
      <c r="A22" s="78" t="n"/>
      <c r="H22" s="79" t="n"/>
    </row>
    <row r="23">
      <c r="A23" s="78" t="n"/>
      <c r="H23" s="79" t="n"/>
    </row>
    <row r="24">
      <c r="A24" s="78" t="n"/>
      <c r="H24" s="79" t="n"/>
    </row>
    <row r="25">
      <c r="A25" s="78" t="n"/>
      <c r="H25" s="79" t="n"/>
    </row>
    <row r="26">
      <c r="A26" s="78" t="n"/>
      <c r="H26" s="79" t="n"/>
    </row>
    <row r="27">
      <c r="A27" s="78" t="n"/>
      <c r="H27" s="79" t="n"/>
    </row>
    <row r="28">
      <c r="A28" s="75" t="n"/>
      <c r="B28" s="76" t="n"/>
      <c r="C28" s="76" t="n"/>
      <c r="D28" s="76" t="n"/>
      <c r="E28" s="76" t="n"/>
      <c r="F28" s="76" t="n"/>
      <c r="G28" s="76" t="n"/>
      <c r="H28" s="77" t="n"/>
    </row>
  </sheetData>
  <mergeCells count="6">
    <mergeCell ref="A4:H4"/>
    <mergeCell ref="A21:H28"/>
    <mergeCell ref="A20:H20"/>
    <mergeCell ref="A2:H2"/>
    <mergeCell ref="A10:H10"/>
    <mergeCell ref="A1:H1"/>
  </mergeCells>
  <dataValidations count="2">
    <dataValidation sqref="E6:E8" showDropDown="0" showInputMessage="0" showErrorMessage="0" allowBlank="0" type="list">
      <formula1>"Pass,Partial,Fail"</formula1>
    </dataValidation>
    <dataValidation sqref="B18" showDropDown="0" showInputMessage="0" showErrorMessage="0" allowBlank="0" type="list">
      <formula1>"Completed and retested,Partial,Not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5" customWidth="1" min="8" max="8"/>
    <col width="18" customWidth="1" min="9" max="9"/>
    <col width="12" customWidth="1" min="10" max="10"/>
    <col width="15" customWidth="1" min="11" max="11"/>
    <col width="12" customWidth="1" min="12" max="12"/>
    <col width="21" customWidth="1" min="13" max="13"/>
    <col width="32" customWidth="1" min="14" max="14"/>
  </cols>
  <sheetData>
    <row r="1" ht="34" customHeight="1">
      <c r="A1" s="3" t="inlineStr">
        <is>
          <t>Track 02 | Batch Moderation</t>
        </is>
      </c>
    </row>
    <row r="2" ht="28" customHeight="1">
      <c r="A2" s="7" t="inlineStr">
        <is>
          <t>Rank within track, double-score likely selections/borderline cases, then cross-track moderate</t>
        </is>
      </c>
    </row>
    <row r="4">
      <c r="A4" s="37" t="inlineStr">
        <is>
          <t>Candidate ID</t>
        </is>
      </c>
      <c r="B4" s="37" t="inlineStr">
        <is>
          <t>Functional /25</t>
        </is>
      </c>
      <c r="C4" s="37" t="inlineStr">
        <is>
          <t>Engineering /25</t>
        </is>
      </c>
      <c r="D4" s="37" t="inlineStr">
        <is>
          <t>Testing /20</t>
        </is>
      </c>
      <c r="E4" s="37" t="inlineStr">
        <is>
          <t>Efficiency /10</t>
        </is>
      </c>
      <c r="F4" s="37" t="inlineStr">
        <is>
          <t>Live /20</t>
        </is>
      </c>
      <c r="G4" s="37" t="inlineStr">
        <is>
          <t>Total /100</t>
        </is>
      </c>
      <c r="H4" s="37" t="inlineStr">
        <is>
          <t>Eligibility</t>
        </is>
      </c>
      <c r="I4" s="37" t="inlineStr">
        <is>
          <t>Verified level</t>
        </is>
      </c>
      <c r="J4" s="37" t="inlineStr">
        <is>
          <t>Track rank</t>
        </is>
      </c>
      <c r="K4" s="37" t="inlineStr">
        <is>
          <t>2nd score total</t>
        </is>
      </c>
      <c r="L4" s="37" t="inlineStr">
        <is>
          <t>Difference</t>
        </is>
      </c>
      <c r="M4" s="37" t="inlineStr">
        <is>
          <t>Moderation status</t>
        </is>
      </c>
      <c r="N4" s="37" t="inlineStr">
        <is>
          <t>Decision / notes</t>
        </is>
      </c>
    </row>
    <row r="5" ht="30" customHeight="1">
      <c r="A5" s="48" t="str"/>
      <c r="B5" s="48" t="str"/>
      <c r="C5" s="48" t="str"/>
      <c r="D5" s="48" t="str"/>
      <c r="E5" s="48" t="str"/>
      <c r="F5" s="48" t="str"/>
      <c r="G5" s="59">
        <f>IF(B5="","",SUM(B5:F5))</f>
        <v/>
      </c>
      <c r="H5" s="48" t="str"/>
      <c r="I5" s="48" t="str"/>
      <c r="J5" s="59">
        <f>IF(G5="","",RANK.EQ(G5,$G$5:$G$29,0))</f>
        <v/>
      </c>
      <c r="K5" s="48" t="str"/>
      <c r="L5" s="59">
        <f>IF(OR(G5="",K5=""),"",ABS(G5-K5))</f>
        <v/>
      </c>
      <c r="M5" s="48" t="str"/>
      <c r="N5" s="48" t="str"/>
    </row>
    <row r="6" ht="30" customHeight="1">
      <c r="A6" s="48" t="str"/>
      <c r="B6" s="48" t="str"/>
      <c r="C6" s="48" t="str"/>
      <c r="D6" s="48" t="str"/>
      <c r="E6" s="48" t="str"/>
      <c r="F6" s="48" t="str"/>
      <c r="G6" s="59">
        <f>IF(B6="","",SUM(B6:F6))</f>
        <v/>
      </c>
      <c r="H6" s="48" t="str"/>
      <c r="I6" s="48" t="str"/>
      <c r="J6" s="59">
        <f>IF(G6="","",RANK.EQ(G6,$G$5:$G$29,0))</f>
        <v/>
      </c>
      <c r="K6" s="48" t="str"/>
      <c r="L6" s="59">
        <f>IF(OR(G6="",K6=""),"",ABS(G6-K6))</f>
        <v/>
      </c>
      <c r="M6" s="48" t="str"/>
      <c r="N6" s="48" t="str"/>
    </row>
    <row r="7" ht="30" customHeight="1">
      <c r="A7" s="48" t="str"/>
      <c r="B7" s="48" t="str"/>
      <c r="C7" s="48" t="str"/>
      <c r="D7" s="48" t="str"/>
      <c r="E7" s="48" t="str"/>
      <c r="F7" s="48" t="str"/>
      <c r="G7" s="59">
        <f>IF(B7="","",SUM(B7:F7))</f>
        <v/>
      </c>
      <c r="H7" s="48" t="str"/>
      <c r="I7" s="48" t="str"/>
      <c r="J7" s="59">
        <f>IF(G7="","",RANK.EQ(G7,$G$5:$G$29,0))</f>
        <v/>
      </c>
      <c r="K7" s="48" t="str"/>
      <c r="L7" s="59">
        <f>IF(OR(G7="",K7=""),"",ABS(G7-K7))</f>
        <v/>
      </c>
      <c r="M7" s="48" t="str"/>
      <c r="N7" s="48" t="str"/>
    </row>
    <row r="8" ht="30" customHeight="1">
      <c r="A8" s="48" t="str"/>
      <c r="B8" s="48" t="str"/>
      <c r="C8" s="48" t="str"/>
      <c r="D8" s="48" t="str"/>
      <c r="E8" s="48" t="str"/>
      <c r="F8" s="48" t="str"/>
      <c r="G8" s="59">
        <f>IF(B8="","",SUM(B8:F8))</f>
        <v/>
      </c>
      <c r="H8" s="48" t="str"/>
      <c r="I8" s="48" t="str"/>
      <c r="J8" s="59">
        <f>IF(G8="","",RANK.EQ(G8,$G$5:$G$29,0))</f>
        <v/>
      </c>
      <c r="K8" s="48" t="str"/>
      <c r="L8" s="59">
        <f>IF(OR(G8="",K8=""),"",ABS(G8-K8))</f>
        <v/>
      </c>
      <c r="M8" s="48" t="str"/>
      <c r="N8" s="48" t="str"/>
    </row>
    <row r="9" ht="30" customHeight="1">
      <c r="A9" s="48" t="str"/>
      <c r="B9" s="48" t="str"/>
      <c r="C9" s="48" t="str"/>
      <c r="D9" s="48" t="str"/>
      <c r="E9" s="48" t="str"/>
      <c r="F9" s="48" t="str"/>
      <c r="G9" s="59">
        <f>IF(B9="","",SUM(B9:F9))</f>
        <v/>
      </c>
      <c r="H9" s="48" t="str"/>
      <c r="I9" s="48" t="str"/>
      <c r="J9" s="59">
        <f>IF(G9="","",RANK.EQ(G9,$G$5:$G$29,0))</f>
        <v/>
      </c>
      <c r="K9" s="48" t="str"/>
      <c r="L9" s="59">
        <f>IF(OR(G9="",K9=""),"",ABS(G9-K9))</f>
        <v/>
      </c>
      <c r="M9" s="48" t="str"/>
      <c r="N9" s="48" t="str"/>
    </row>
    <row r="10" ht="30" customHeight="1">
      <c r="A10" s="48" t="str"/>
      <c r="B10" s="48" t="str"/>
      <c r="C10" s="48" t="str"/>
      <c r="D10" s="48" t="str"/>
      <c r="E10" s="48" t="str"/>
      <c r="F10" s="48" t="str"/>
      <c r="G10" s="59">
        <f>IF(B10="","",SUM(B10:F10))</f>
        <v/>
      </c>
      <c r="H10" s="48" t="str"/>
      <c r="I10" s="48" t="str"/>
      <c r="J10" s="59">
        <f>IF(G10="","",RANK.EQ(G10,$G$5:$G$29,0))</f>
        <v/>
      </c>
      <c r="K10" s="48" t="str"/>
      <c r="L10" s="59">
        <f>IF(OR(G10="",K10=""),"",ABS(G10-K10))</f>
        <v/>
      </c>
      <c r="M10" s="48" t="str"/>
      <c r="N10" s="48" t="str"/>
    </row>
    <row r="11" ht="30" customHeight="1">
      <c r="A11" s="48" t="str"/>
      <c r="B11" s="48" t="str"/>
      <c r="C11" s="48" t="str"/>
      <c r="D11" s="48" t="str"/>
      <c r="E11" s="48" t="str"/>
      <c r="F11" s="48" t="str"/>
      <c r="G11" s="59">
        <f>IF(B11="","",SUM(B11:F11))</f>
        <v/>
      </c>
      <c r="H11" s="48" t="str"/>
      <c r="I11" s="48" t="str"/>
      <c r="J11" s="59">
        <f>IF(G11="","",RANK.EQ(G11,$G$5:$G$29,0))</f>
        <v/>
      </c>
      <c r="K11" s="48" t="str"/>
      <c r="L11" s="59">
        <f>IF(OR(G11="",K11=""),"",ABS(G11-K11))</f>
        <v/>
      </c>
      <c r="M11" s="48" t="str"/>
      <c r="N11" s="48" t="str"/>
    </row>
    <row r="12" ht="30" customHeight="1">
      <c r="A12" s="48" t="str"/>
      <c r="B12" s="48" t="str"/>
      <c r="C12" s="48" t="str"/>
      <c r="D12" s="48" t="str"/>
      <c r="E12" s="48" t="str"/>
      <c r="F12" s="48" t="str"/>
      <c r="G12" s="59">
        <f>IF(B12="","",SUM(B12:F12))</f>
        <v/>
      </c>
      <c r="H12" s="48" t="str"/>
      <c r="I12" s="48" t="str"/>
      <c r="J12" s="59">
        <f>IF(G12="","",RANK.EQ(G12,$G$5:$G$29,0))</f>
        <v/>
      </c>
      <c r="K12" s="48" t="str"/>
      <c r="L12" s="59">
        <f>IF(OR(G12="",K12=""),"",ABS(G12-K12))</f>
        <v/>
      </c>
      <c r="M12" s="48" t="str"/>
      <c r="N12" s="48" t="str"/>
    </row>
    <row r="13" ht="30" customHeight="1">
      <c r="A13" s="48" t="str"/>
      <c r="B13" s="48" t="str"/>
      <c r="C13" s="48" t="str"/>
      <c r="D13" s="48" t="str"/>
      <c r="E13" s="48" t="str"/>
      <c r="F13" s="48" t="str"/>
      <c r="G13" s="59">
        <f>IF(B13="","",SUM(B13:F13))</f>
        <v/>
      </c>
      <c r="H13" s="48" t="str"/>
      <c r="I13" s="48" t="str"/>
      <c r="J13" s="59">
        <f>IF(G13="","",RANK.EQ(G13,$G$5:$G$29,0))</f>
        <v/>
      </c>
      <c r="K13" s="48" t="str"/>
      <c r="L13" s="59">
        <f>IF(OR(G13="",K13=""),"",ABS(G13-K13))</f>
        <v/>
      </c>
      <c r="M13" s="48" t="str"/>
      <c r="N13" s="48" t="str"/>
    </row>
    <row r="14" ht="30" customHeight="1">
      <c r="A14" s="48" t="str"/>
      <c r="B14" s="48" t="str"/>
      <c r="C14" s="48" t="str"/>
      <c r="D14" s="48" t="str"/>
      <c r="E14" s="48" t="str"/>
      <c r="F14" s="48" t="str"/>
      <c r="G14" s="59">
        <f>IF(B14="","",SUM(B14:F14))</f>
        <v/>
      </c>
      <c r="H14" s="48" t="str"/>
      <c r="I14" s="48" t="str"/>
      <c r="J14" s="59">
        <f>IF(G14="","",RANK.EQ(G14,$G$5:$G$29,0))</f>
        <v/>
      </c>
      <c r="K14" s="48" t="str"/>
      <c r="L14" s="59">
        <f>IF(OR(G14="",K14=""),"",ABS(G14-K14))</f>
        <v/>
      </c>
      <c r="M14" s="48" t="str"/>
      <c r="N14" s="48" t="str"/>
    </row>
    <row r="15" ht="30" customHeight="1">
      <c r="A15" s="48" t="str"/>
      <c r="B15" s="48" t="str"/>
      <c r="C15" s="48" t="str"/>
      <c r="D15" s="48" t="str"/>
      <c r="E15" s="48" t="str"/>
      <c r="F15" s="48" t="str"/>
      <c r="G15" s="59">
        <f>IF(B15="","",SUM(B15:F15))</f>
        <v/>
      </c>
      <c r="H15" s="48" t="str"/>
      <c r="I15" s="48" t="str"/>
      <c r="J15" s="59">
        <f>IF(G15="","",RANK.EQ(G15,$G$5:$G$29,0))</f>
        <v/>
      </c>
      <c r="K15" s="48" t="str"/>
      <c r="L15" s="59">
        <f>IF(OR(G15="",K15=""),"",ABS(G15-K15))</f>
        <v/>
      </c>
      <c r="M15" s="48" t="str"/>
      <c r="N15" s="48" t="str"/>
    </row>
    <row r="16" ht="30" customHeight="1">
      <c r="A16" s="48" t="str"/>
      <c r="B16" s="48" t="str"/>
      <c r="C16" s="48" t="str"/>
      <c r="D16" s="48" t="str"/>
      <c r="E16" s="48" t="str"/>
      <c r="F16" s="48" t="str"/>
      <c r="G16" s="59">
        <f>IF(B16="","",SUM(B16:F16))</f>
        <v/>
      </c>
      <c r="H16" s="48" t="str"/>
      <c r="I16" s="48" t="str"/>
      <c r="J16" s="59">
        <f>IF(G16="","",RANK.EQ(G16,$G$5:$G$29,0))</f>
        <v/>
      </c>
      <c r="K16" s="48" t="str"/>
      <c r="L16" s="59">
        <f>IF(OR(G16="",K16=""),"",ABS(G16-K16))</f>
        <v/>
      </c>
      <c r="M16" s="48" t="str"/>
      <c r="N16" s="48" t="str"/>
    </row>
    <row r="17" ht="30" customHeight="1">
      <c r="A17" s="48" t="str"/>
      <c r="B17" s="48" t="str"/>
      <c r="C17" s="48" t="str"/>
      <c r="D17" s="48" t="str"/>
      <c r="E17" s="48" t="str"/>
      <c r="F17" s="48" t="str"/>
      <c r="G17" s="59">
        <f>IF(B17="","",SUM(B17:F17))</f>
        <v/>
      </c>
      <c r="H17" s="48" t="str"/>
      <c r="I17" s="48" t="str"/>
      <c r="J17" s="59">
        <f>IF(G17="","",RANK.EQ(G17,$G$5:$G$29,0))</f>
        <v/>
      </c>
      <c r="K17" s="48" t="str"/>
      <c r="L17" s="59">
        <f>IF(OR(G17="",K17=""),"",ABS(G17-K17))</f>
        <v/>
      </c>
      <c r="M17" s="48" t="str"/>
      <c r="N17" s="48" t="str"/>
    </row>
    <row r="18" ht="30" customHeight="1">
      <c r="A18" s="48" t="str"/>
      <c r="B18" s="48" t="str"/>
      <c r="C18" s="48" t="str"/>
      <c r="D18" s="48" t="str"/>
      <c r="E18" s="48" t="str"/>
      <c r="F18" s="48" t="str"/>
      <c r="G18" s="59">
        <f>IF(B18="","",SUM(B18:F18))</f>
        <v/>
      </c>
      <c r="H18" s="48" t="str"/>
      <c r="I18" s="48" t="str"/>
      <c r="J18" s="59">
        <f>IF(G18="","",RANK.EQ(G18,$G$5:$G$29,0))</f>
        <v/>
      </c>
      <c r="K18" s="48" t="str"/>
      <c r="L18" s="59">
        <f>IF(OR(G18="",K18=""),"",ABS(G18-K18))</f>
        <v/>
      </c>
      <c r="M18" s="48" t="str"/>
      <c r="N18" s="48" t="str"/>
    </row>
    <row r="19" ht="30" customHeight="1">
      <c r="A19" s="48" t="str"/>
      <c r="B19" s="48" t="str"/>
      <c r="C19" s="48" t="str"/>
      <c r="D19" s="48" t="str"/>
      <c r="E19" s="48" t="str"/>
      <c r="F19" s="48" t="str"/>
      <c r="G19" s="59">
        <f>IF(B19="","",SUM(B19:F19))</f>
        <v/>
      </c>
      <c r="H19" s="48" t="str"/>
      <c r="I19" s="48" t="str"/>
      <c r="J19" s="59">
        <f>IF(G19="","",RANK.EQ(G19,$G$5:$G$29,0))</f>
        <v/>
      </c>
      <c r="K19" s="48" t="str"/>
      <c r="L19" s="59">
        <f>IF(OR(G19="",K19=""),"",ABS(G19-K19))</f>
        <v/>
      </c>
      <c r="M19" s="48" t="str"/>
      <c r="N19" s="48" t="str"/>
    </row>
    <row r="20" ht="30" customHeight="1">
      <c r="A20" s="48" t="str"/>
      <c r="B20" s="48" t="str"/>
      <c r="C20" s="48" t="str"/>
      <c r="D20" s="48" t="str"/>
      <c r="E20" s="48" t="str"/>
      <c r="F20" s="48" t="str"/>
      <c r="G20" s="59">
        <f>IF(B20="","",SUM(B20:F20))</f>
        <v/>
      </c>
      <c r="H20" s="48" t="str"/>
      <c r="I20" s="48" t="str"/>
      <c r="J20" s="59">
        <f>IF(G20="","",RANK.EQ(G20,$G$5:$G$29,0))</f>
        <v/>
      </c>
      <c r="K20" s="48" t="str"/>
      <c r="L20" s="59">
        <f>IF(OR(G20="",K20=""),"",ABS(G20-K20))</f>
        <v/>
      </c>
      <c r="M20" s="48" t="str"/>
      <c r="N20" s="48" t="str"/>
    </row>
    <row r="21" ht="30" customHeight="1">
      <c r="A21" s="48" t="str"/>
      <c r="B21" s="48" t="str"/>
      <c r="C21" s="48" t="str"/>
      <c r="D21" s="48" t="str"/>
      <c r="E21" s="48" t="str"/>
      <c r="F21" s="48" t="str"/>
      <c r="G21" s="59">
        <f>IF(B21="","",SUM(B21:F21))</f>
        <v/>
      </c>
      <c r="H21" s="48" t="str"/>
      <c r="I21" s="48" t="str"/>
      <c r="J21" s="59">
        <f>IF(G21="","",RANK.EQ(G21,$G$5:$G$29,0))</f>
        <v/>
      </c>
      <c r="K21" s="48" t="str"/>
      <c r="L21" s="59">
        <f>IF(OR(G21="",K21=""),"",ABS(G21-K21))</f>
        <v/>
      </c>
      <c r="M21" s="48" t="str"/>
      <c r="N21" s="48" t="str"/>
    </row>
    <row r="22" ht="30" customHeight="1">
      <c r="A22" s="48" t="str"/>
      <c r="B22" s="48" t="str"/>
      <c r="C22" s="48" t="str"/>
      <c r="D22" s="48" t="str"/>
      <c r="E22" s="48" t="str"/>
      <c r="F22" s="48" t="str"/>
      <c r="G22" s="59">
        <f>IF(B22="","",SUM(B22:F22))</f>
        <v/>
      </c>
      <c r="H22" s="48" t="str"/>
      <c r="I22" s="48" t="str"/>
      <c r="J22" s="59">
        <f>IF(G22="","",RANK.EQ(G22,$G$5:$G$29,0))</f>
        <v/>
      </c>
      <c r="K22" s="48" t="str"/>
      <c r="L22" s="59">
        <f>IF(OR(G22="",K22=""),"",ABS(G22-K22))</f>
        <v/>
      </c>
      <c r="M22" s="48" t="str"/>
      <c r="N22" s="48" t="str"/>
    </row>
    <row r="23" ht="30" customHeight="1">
      <c r="A23" s="48" t="str"/>
      <c r="B23" s="48" t="str"/>
      <c r="C23" s="48" t="str"/>
      <c r="D23" s="48" t="str"/>
      <c r="E23" s="48" t="str"/>
      <c r="F23" s="48" t="str"/>
      <c r="G23" s="59">
        <f>IF(B23="","",SUM(B23:F23))</f>
        <v/>
      </c>
      <c r="H23" s="48" t="str"/>
      <c r="I23" s="48" t="str"/>
      <c r="J23" s="59">
        <f>IF(G23="","",RANK.EQ(G23,$G$5:$G$29,0))</f>
        <v/>
      </c>
      <c r="K23" s="48" t="str"/>
      <c r="L23" s="59">
        <f>IF(OR(G23="",K23=""),"",ABS(G23-K23))</f>
        <v/>
      </c>
      <c r="M23" s="48" t="str"/>
      <c r="N23" s="48" t="str"/>
    </row>
    <row r="24" ht="30" customHeight="1">
      <c r="A24" s="48" t="str"/>
      <c r="B24" s="48" t="str"/>
      <c r="C24" s="48" t="str"/>
      <c r="D24" s="48" t="str"/>
      <c r="E24" s="48" t="str"/>
      <c r="F24" s="48" t="str"/>
      <c r="G24" s="59">
        <f>IF(B24="","",SUM(B24:F24))</f>
        <v/>
      </c>
      <c r="H24" s="48" t="str"/>
      <c r="I24" s="48" t="str"/>
      <c r="J24" s="59">
        <f>IF(G24="","",RANK.EQ(G24,$G$5:$G$29,0))</f>
        <v/>
      </c>
      <c r="K24" s="48" t="str"/>
      <c r="L24" s="59">
        <f>IF(OR(G24="",K24=""),"",ABS(G24-K24))</f>
        <v/>
      </c>
      <c r="M24" s="48" t="str"/>
      <c r="N24" s="48" t="str"/>
    </row>
    <row r="25" ht="30" customHeight="1">
      <c r="A25" s="48" t="str"/>
      <c r="B25" s="48" t="str"/>
      <c r="C25" s="48" t="str"/>
      <c r="D25" s="48" t="str"/>
      <c r="E25" s="48" t="str"/>
      <c r="F25" s="48" t="str"/>
      <c r="G25" s="59">
        <f>IF(B25="","",SUM(B25:F25))</f>
        <v/>
      </c>
      <c r="H25" s="48" t="str"/>
      <c r="I25" s="48" t="str"/>
      <c r="J25" s="59">
        <f>IF(G25="","",RANK.EQ(G25,$G$5:$G$29,0))</f>
        <v/>
      </c>
      <c r="K25" s="48" t="str"/>
      <c r="L25" s="59">
        <f>IF(OR(G25="",K25=""),"",ABS(G25-K25))</f>
        <v/>
      </c>
      <c r="M25" s="48" t="str"/>
      <c r="N25" s="48" t="str"/>
    </row>
    <row r="26" ht="30" customHeight="1">
      <c r="A26" s="48" t="str"/>
      <c r="B26" s="48" t="str"/>
      <c r="C26" s="48" t="str"/>
      <c r="D26" s="48" t="str"/>
      <c r="E26" s="48" t="str"/>
      <c r="F26" s="48" t="str"/>
      <c r="G26" s="59">
        <f>IF(B26="","",SUM(B26:F26))</f>
        <v/>
      </c>
      <c r="H26" s="48" t="str"/>
      <c r="I26" s="48" t="str"/>
      <c r="J26" s="59">
        <f>IF(G26="","",RANK.EQ(G26,$G$5:$G$29,0))</f>
        <v/>
      </c>
      <c r="K26" s="48" t="str"/>
      <c r="L26" s="59">
        <f>IF(OR(G26="",K26=""),"",ABS(G26-K26))</f>
        <v/>
      </c>
      <c r="M26" s="48" t="str"/>
      <c r="N26" s="48" t="str"/>
    </row>
    <row r="27" ht="30" customHeight="1">
      <c r="A27" s="48" t="str"/>
      <c r="B27" s="48" t="str"/>
      <c r="C27" s="48" t="str"/>
      <c r="D27" s="48" t="str"/>
      <c r="E27" s="48" t="str"/>
      <c r="F27" s="48" t="str"/>
      <c r="G27" s="59">
        <f>IF(B27="","",SUM(B27:F27))</f>
        <v/>
      </c>
      <c r="H27" s="48" t="str"/>
      <c r="I27" s="48" t="str"/>
      <c r="J27" s="59">
        <f>IF(G27="","",RANK.EQ(G27,$G$5:$G$29,0))</f>
        <v/>
      </c>
      <c r="K27" s="48" t="str"/>
      <c r="L27" s="59">
        <f>IF(OR(G27="",K27=""),"",ABS(G27-K27))</f>
        <v/>
      </c>
      <c r="M27" s="48" t="str"/>
      <c r="N27" s="48" t="str"/>
    </row>
    <row r="28" ht="30" customHeight="1">
      <c r="A28" s="48" t="str"/>
      <c r="B28" s="48" t="str"/>
      <c r="C28" s="48" t="str"/>
      <c r="D28" s="48" t="str"/>
      <c r="E28" s="48" t="str"/>
      <c r="F28" s="48" t="str"/>
      <c r="G28" s="59">
        <f>IF(B28="","",SUM(B28:F28))</f>
        <v/>
      </c>
      <c r="H28" s="48" t="str"/>
      <c r="I28" s="48" t="str"/>
      <c r="J28" s="59">
        <f>IF(G28="","",RANK.EQ(G28,$G$5:$G$29,0))</f>
        <v/>
      </c>
      <c r="K28" s="48" t="str"/>
      <c r="L28" s="59">
        <f>IF(OR(G28="",K28=""),"",ABS(G28-K28))</f>
        <v/>
      </c>
      <c r="M28" s="48" t="str"/>
      <c r="N28" s="48" t="str"/>
    </row>
    <row r="29" ht="30" customHeight="1">
      <c r="A29" s="48" t="str"/>
      <c r="B29" s="48" t="str"/>
      <c r="C29" s="48" t="str"/>
      <c r="D29" s="48" t="str"/>
      <c r="E29" s="48" t="str"/>
      <c r="F29" s="48" t="str"/>
      <c r="G29" s="59">
        <f>IF(B29="","",SUM(B29:F29))</f>
        <v/>
      </c>
      <c r="H29" s="48" t="str"/>
      <c r="I29" s="48" t="str"/>
      <c r="J29" s="59">
        <f>IF(G29="","",RANK.EQ(G29,$G$5:$G$29,0))</f>
        <v/>
      </c>
      <c r="K29" s="48" t="str"/>
      <c r="L29" s="59">
        <f>IF(OR(G29="",K29=""),"",ABS(G29-K29))</f>
        <v/>
      </c>
      <c r="M29" s="48" t="str"/>
      <c r="N29" s="48" t="str"/>
    </row>
    <row r="31" ht="23" customHeight="1">
      <c r="A31" s="10" t="inlineStr">
        <is>
          <t>Moderation Controls</t>
        </is>
      </c>
    </row>
    <row r="32">
      <c r="A32" s="37" t="inlineStr">
        <is>
          <t>Control</t>
        </is>
      </c>
      <c r="B32" s="37" t="inlineStr">
        <is>
          <t>Required action</t>
        </is>
      </c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1" t="n"/>
    </row>
    <row r="33" ht="34" customHeight="1">
      <c r="A33" s="69" t="inlineStr">
        <is>
          <t>Anchor calibration</t>
        </is>
      </c>
      <c r="B33" s="34" t="inlineStr">
        <is>
          <t>Two anchor submissions scored before final marking</t>
        </is>
      </c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1" t="n"/>
    </row>
    <row r="34" ht="34" customHeight="1">
      <c r="A34" s="69" t="inlineStr">
        <is>
          <t>Double scoring</t>
        </is>
      </c>
      <c r="B34" s="34" t="inlineStr">
        <is>
          <t>All likely selections, within 5 of cutoff, &gt;5 disagreement, and at least 20% of track</t>
        </is>
      </c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1" t="n"/>
    </row>
    <row r="35" ht="34" customHeight="1">
      <c r="A35" s="69" t="inlineStr">
        <is>
          <t>Cross-track moderation</t>
        </is>
      </c>
      <c r="B35" s="34" t="inlineStr">
        <is>
          <t>Compare difficulty and evaluator severity after ranking within track</t>
        </is>
      </c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1" t="n"/>
    </row>
    <row r="36" ht="34" customHeight="1">
      <c r="A36" s="69" t="inlineStr">
        <is>
          <t>Tie-break order</t>
        </is>
      </c>
      <c r="B36" s="34" t="inlineStr">
        <is>
          <t>Live ownership, engineering, testing, functional quality, efficiency/licensing/product</t>
        </is>
      </c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1" t="n"/>
    </row>
  </sheetData>
  <mergeCells count="8">
    <mergeCell ref="B36:N36"/>
    <mergeCell ref="A31:N31"/>
    <mergeCell ref="B32:N32"/>
    <mergeCell ref="B35:N35"/>
    <mergeCell ref="A2:N2"/>
    <mergeCell ref="B33:N33"/>
    <mergeCell ref="B34:N34"/>
    <mergeCell ref="A1:N1"/>
  </mergeCells>
  <dataValidations count="3">
    <dataValidation sqref="H5:H29" showDropDown="0" showInputMessage="0" showErrorMessage="0" allowBlank="0" type="list">
      <formula1>"ELIGIBLE,INELIGIBLE,PENDING"</formula1>
    </dataValidation>
    <dataValidation sqref="I5:I29" showDropDown="0" showInputMessage="0" showErrorMessage="0" allowBlank="0" type="list">
      <formula1>"BELOW BASELINE,BASELINE,STRONG,EXCEPTIONAL"</formula1>
    </dataValidation>
    <dataValidation sqref="M5:M29" showDropDown="0" showInputMessage="0" showErrorMessage="0" allowBlank="0" type="list">
      <formula1>"Not required,Required,Completed,Disagreement review"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2026-09-11T13:19:53Z</dcterms:created>
  <dcterms:modified xsi:type="dcterms:W3CDTF">2026-09-11T13:19:53Z</dcterms:modified>
</cp:coreProperties>
</file>